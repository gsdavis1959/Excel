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sdav\Documents\Data\Personal\Research\"/>
    </mc:Choice>
  </mc:AlternateContent>
  <xr:revisionPtr revIDLastSave="0" documentId="13_ncr:1_{3F9A8F4B-BFA7-4957-934B-C6BEB6D97A1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chedule" sheetId="2" r:id="rId1"/>
    <sheet name="Monthly view" sheetId="5" r:id="rId2"/>
  </sheets>
  <functionGroups builtInGroupCount="19"/>
  <definedNames>
    <definedName name="End">Schedule!#REF!</definedName>
    <definedName name="Start">Schedule!$C$3:$C$5</definedName>
    <definedName name="Title">Schedule!$B$3:$B$5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4" i="2" l="1"/>
  <c r="D52" i="2"/>
  <c r="D50" i="2"/>
  <c r="D45" i="2"/>
  <c r="D44" i="2"/>
  <c r="J7" i="5" l="1" a="1"/>
  <c r="J7" i="5" s="1"/>
  <c r="J8" i="5" a="1"/>
  <c r="J8" i="5" s="1"/>
  <c r="J9" i="5" a="1"/>
  <c r="J9" i="5" s="1"/>
  <c r="J10" i="5" a="1"/>
  <c r="J10" i="5" s="1"/>
  <c r="J11" i="5" a="1"/>
  <c r="J11" i="5" s="1"/>
  <c r="J12" i="5" a="1"/>
  <c r="J12" i="5" s="1"/>
  <c r="J13" i="5" a="1"/>
  <c r="J13" i="5" s="1"/>
  <c r="J14" i="5" a="1"/>
  <c r="J14" i="5" s="1"/>
  <c r="J15" i="5" a="1"/>
  <c r="J15" i="5" s="1"/>
  <c r="J16" i="5" a="1"/>
  <c r="J16" i="5" s="1"/>
  <c r="J17" i="5" a="1"/>
  <c r="J17" i="5" s="1"/>
  <c r="J18" i="5" a="1"/>
  <c r="J18" i="5" s="1"/>
  <c r="J19" i="5" a="1"/>
  <c r="J19" i="5" s="1"/>
  <c r="J20" i="5" a="1"/>
  <c r="J20" i="5" s="1"/>
  <c r="J21" i="5" a="1"/>
  <c r="J21" i="5" s="1"/>
  <c r="J22" i="5" a="1"/>
  <c r="J22" i="5" s="1"/>
  <c r="J23" i="5" a="1"/>
  <c r="J23" i="5" s="1"/>
  <c r="J24" i="5" a="1"/>
  <c r="J24" i="5" s="1"/>
  <c r="J25" i="5" a="1"/>
  <c r="J25" i="5" s="1"/>
  <c r="J26" i="5" a="1"/>
  <c r="J26" i="5" s="1"/>
  <c r="J27" i="5" a="1"/>
  <c r="J27" i="5" s="1"/>
  <c r="J28" i="5" a="1"/>
  <c r="J28" i="5" s="1"/>
  <c r="J29" i="5" a="1"/>
  <c r="J29" i="5" s="1"/>
  <c r="J30" i="5" a="1"/>
  <c r="J30" i="5" s="1"/>
  <c r="J31" i="5" a="1"/>
  <c r="J31" i="5" s="1"/>
  <c r="J32" i="5" a="1"/>
  <c r="J32" i="5" s="1"/>
  <c r="J33" i="5" a="1"/>
  <c r="J33" i="5" s="1"/>
  <c r="J34" i="5" a="1"/>
  <c r="J34" i="5" s="1"/>
  <c r="J35" i="5" a="1"/>
  <c r="J35" i="5" s="1"/>
  <c r="J36" i="5" a="1"/>
  <c r="J36" i="5" s="1"/>
  <c r="J37" i="5" a="1"/>
  <c r="J37" i="5" s="1"/>
  <c r="J38" i="5" a="1"/>
  <c r="J38" i="5" s="1"/>
  <c r="J39" i="5" a="1"/>
  <c r="J39" i="5" s="1"/>
  <c r="J6" i="5" a="1"/>
  <c r="J6" i="5" s="1"/>
  <c r="D64" i="2"/>
  <c r="H21" i="2" l="1"/>
  <c r="H4" i="2" l="1"/>
  <c r="H5" i="2"/>
  <c r="D66" i="2"/>
  <c r="K7" i="5" a="1"/>
  <c r="K7" i="5" s="1"/>
  <c r="K8" i="5" a="1"/>
  <c r="K8" i="5" s="1"/>
  <c r="K9" i="5" a="1"/>
  <c r="K9" i="5" s="1"/>
  <c r="K10" i="5" a="1"/>
  <c r="K10" i="5" s="1"/>
  <c r="K11" i="5" a="1"/>
  <c r="K11" i="5" s="1"/>
  <c r="K12" i="5" a="1"/>
  <c r="K12" i="5" s="1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26" i="5" a="1"/>
  <c r="K26" i="5" s="1"/>
  <c r="K27" i="5" a="1"/>
  <c r="K27" i="5" s="1"/>
  <c r="K28" i="5" a="1"/>
  <c r="K28" i="5" s="1"/>
  <c r="K29" i="5" a="1"/>
  <c r="K29" i="5" s="1"/>
  <c r="K30" i="5" a="1"/>
  <c r="K30" i="5" s="1"/>
  <c r="K31" i="5" a="1"/>
  <c r="K31" i="5" s="1"/>
  <c r="K32" i="5" a="1"/>
  <c r="K32" i="5" s="1"/>
  <c r="K33" i="5" a="1"/>
  <c r="K3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6" i="5" a="1"/>
  <c r="K6" i="5" s="1"/>
  <c r="B6" i="5" l="1"/>
  <c r="D63" i="2"/>
  <c r="B7" i="5"/>
  <c r="D38" i="2" l="1"/>
  <c r="D65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6" i="2"/>
  <c r="D27" i="2"/>
  <c r="D28" i="2"/>
  <c r="D29" i="2"/>
  <c r="D17" i="2"/>
  <c r="D18" i="2"/>
  <c r="D19" i="2"/>
  <c r="D20" i="2"/>
  <c r="D21" i="2"/>
  <c r="D22" i="2"/>
  <c r="D23" i="2"/>
  <c r="D24" i="2"/>
  <c r="D25" i="2"/>
  <c r="D30" i="2"/>
  <c r="D32" i="2"/>
  <c r="D31" i="2"/>
  <c r="D33" i="2"/>
  <c r="D34" i="2"/>
  <c r="D35" i="2"/>
  <c r="D36" i="2"/>
  <c r="D37" i="2"/>
  <c r="D39" i="2"/>
  <c r="D40" i="2"/>
  <c r="D41" i="2"/>
  <c r="D42" i="2"/>
  <c r="D43" i="2"/>
  <c r="D46" i="2"/>
  <c r="D47" i="2"/>
  <c r="D48" i="2"/>
  <c r="D49" i="2"/>
  <c r="D51" i="2"/>
  <c r="D53" i="2"/>
  <c r="D55" i="2"/>
  <c r="D56" i="2"/>
  <c r="D57" i="2"/>
  <c r="D58" i="2"/>
  <c r="D59" i="2"/>
  <c r="D60" i="2"/>
  <c r="D61" i="2"/>
  <c r="D62" i="2"/>
  <c r="C6" i="5" l="1"/>
  <c r="C7" i="5"/>
  <c r="D6" i="5" l="1"/>
  <c r="D7" i="5"/>
  <c r="E6" i="5" l="1"/>
  <c r="E7" i="5"/>
  <c r="F6" i="5" l="1"/>
  <c r="F7" i="5"/>
  <c r="G6" i="5" l="1"/>
  <c r="G7" i="5"/>
  <c r="H6" i="5" l="1"/>
  <c r="H7" i="5"/>
  <c r="B17" i="5" l="1"/>
  <c r="B18" i="5"/>
  <c r="C17" i="5" l="1"/>
  <c r="C18" i="5"/>
  <c r="D17" i="5" l="1"/>
  <c r="D18" i="5"/>
  <c r="E17" i="5" l="1"/>
  <c r="E18" i="5"/>
  <c r="F17" i="5" l="1"/>
  <c r="F18" i="5"/>
  <c r="G17" i="5" l="1"/>
  <c r="G18" i="5"/>
  <c r="H17" i="5" l="1"/>
  <c r="H18" i="5"/>
  <c r="B28" i="5" l="1"/>
  <c r="B29" i="5"/>
  <c r="C28" i="5" l="1"/>
  <c r="C29" i="5"/>
  <c r="D28" i="5" l="1"/>
  <c r="D29" i="5"/>
  <c r="E28" i="5" l="1"/>
  <c r="E29" i="5"/>
  <c r="F28" i="5" l="1"/>
  <c r="F29" i="5"/>
  <c r="G28" i="5" l="1"/>
  <c r="G29" i="5"/>
  <c r="H28" i="5" l="1"/>
  <c r="H29" i="5"/>
  <c r="B39" i="5" l="1"/>
  <c r="B40" i="5"/>
  <c r="C39" i="5" l="1"/>
  <c r="C40" i="5"/>
  <c r="D39" i="5" l="1"/>
  <c r="D40" i="5"/>
  <c r="E39" i="5" l="1"/>
  <c r="E40" i="5"/>
  <c r="F39" i="5" l="1"/>
  <c r="F40" i="5"/>
  <c r="G39" i="5" l="1"/>
  <c r="G40" i="5"/>
  <c r="H39" i="5" l="1"/>
  <c r="H40" i="5"/>
  <c r="B50" i="5" l="1"/>
  <c r="B51" i="5"/>
  <c r="C50" i="5" l="1"/>
  <c r="C51" i="5"/>
  <c r="D50" i="5" l="1"/>
  <c r="D51" i="5"/>
  <c r="E50" i="5" l="1"/>
  <c r="E51" i="5"/>
  <c r="F50" i="5" l="1"/>
  <c r="F51" i="5"/>
  <c r="G50" i="5" l="1"/>
  <c r="G51" i="5"/>
  <c r="H50" i="5" l="1"/>
  <c r="H51" i="5"/>
  <c r="B61" i="5" l="1"/>
  <c r="B67" i="5"/>
  <c r="C61" i="5" l="1"/>
  <c r="C67" i="5"/>
  <c r="D61" i="5" l="1"/>
  <c r="D67" i="5"/>
  <c r="E61" i="5" l="1"/>
  <c r="E67" i="5"/>
  <c r="F61" i="5" l="1"/>
  <c r="F67" i="5"/>
  <c r="G61" i="5" l="1"/>
  <c r="G67" i="5"/>
  <c r="H61" i="5" l="1"/>
  <c r="H67" i="5"/>
</calcChain>
</file>

<file path=xl/sharedStrings.xml><?xml version="1.0" encoding="utf-8"?>
<sst xmlns="http://schemas.openxmlformats.org/spreadsheetml/2006/main" count="86" uniqueCount="81">
  <si>
    <t>Title</t>
  </si>
  <si>
    <t>Design</t>
  </si>
  <si>
    <t>Sun</t>
  </si>
  <si>
    <t>Mon</t>
  </si>
  <si>
    <t>Tue</t>
  </si>
  <si>
    <t>Wed</t>
  </si>
  <si>
    <t>Thu</t>
  </si>
  <si>
    <t>Fri</t>
  </si>
  <si>
    <t>Sat</t>
  </si>
  <si>
    <t>Time</t>
  </si>
  <si>
    <t>Next month</t>
  </si>
  <si>
    <t>Previous month</t>
  </si>
  <si>
    <t>Selected date:</t>
  </si>
  <si>
    <t>Time and Title</t>
  </si>
  <si>
    <t>Date and time</t>
  </si>
  <si>
    <t>Go to sheet Schedule</t>
  </si>
  <si>
    <t>Go to sheet Calendar</t>
  </si>
  <si>
    <t>Add event:</t>
  </si>
  <si>
    <t xml:space="preserve">Procurement </t>
  </si>
  <si>
    <t>Manufacturing</t>
  </si>
  <si>
    <t>Company</t>
  </si>
  <si>
    <t>Logistics</t>
  </si>
  <si>
    <t>Order</t>
  </si>
  <si>
    <t>Lunch with John</t>
  </si>
  <si>
    <t>Buy grocerys</t>
  </si>
  <si>
    <t>Meeting</t>
  </si>
  <si>
    <t>Order parts</t>
  </si>
  <si>
    <t>Project</t>
  </si>
  <si>
    <t>Skiing</t>
  </si>
  <si>
    <t>Dinner with friends</t>
  </si>
  <si>
    <t>Planning</t>
  </si>
  <si>
    <t>Doctor</t>
  </si>
  <si>
    <t>Order food</t>
  </si>
  <si>
    <t>Call friend</t>
  </si>
  <si>
    <t>Buy dog food</t>
  </si>
  <si>
    <t>Workout</t>
  </si>
  <si>
    <t>Buy stuff</t>
  </si>
  <si>
    <t>Find keys</t>
  </si>
  <si>
    <t>Get a life</t>
  </si>
  <si>
    <t>TV</t>
  </si>
  <si>
    <t>Read book</t>
  </si>
  <si>
    <t>Restaurant</t>
  </si>
  <si>
    <t>Go to work</t>
  </si>
  <si>
    <t>Buy guitar</t>
  </si>
  <si>
    <t>Cook meal</t>
  </si>
  <si>
    <t>Wake up</t>
  </si>
  <si>
    <t>TGIF</t>
  </si>
  <si>
    <t>Visit powerplant</t>
  </si>
  <si>
    <t>Sleep all day</t>
  </si>
  <si>
    <t>Let me out</t>
  </si>
  <si>
    <t>Call Doktor</t>
  </si>
  <si>
    <t>Sleep</t>
  </si>
  <si>
    <t>Examine my head</t>
  </si>
  <si>
    <t>Find my walker</t>
  </si>
  <si>
    <t>medicine?</t>
  </si>
  <si>
    <t>Church</t>
  </si>
  <si>
    <t>Bills</t>
  </si>
  <si>
    <t>I forgot</t>
  </si>
  <si>
    <t>Go for a walk</t>
  </si>
  <si>
    <t>Drive home</t>
  </si>
  <si>
    <t>Eat</t>
  </si>
  <si>
    <t>Buy food</t>
  </si>
  <si>
    <t>Garbage</t>
  </si>
  <si>
    <t>Don't think so</t>
  </si>
  <si>
    <t>Lunch with Tim</t>
  </si>
  <si>
    <t>Get up</t>
  </si>
  <si>
    <t>Eat breakfast</t>
  </si>
  <si>
    <t>Travel</t>
  </si>
  <si>
    <t>Find hotel</t>
  </si>
  <si>
    <t>Call Laura</t>
  </si>
  <si>
    <t>Ice Cream</t>
  </si>
  <si>
    <t>Am I sleeping?</t>
  </si>
  <si>
    <t>Be happy</t>
  </si>
  <si>
    <t>Recurring task</t>
  </si>
  <si>
    <t>Every month on the 3rd:</t>
  </si>
  <si>
    <t>Every Tuesday</t>
  </si>
  <si>
    <t>Test</t>
  </si>
  <si>
    <t>Dog</t>
  </si>
  <si>
    <t>teefg</t>
  </si>
  <si>
    <t>fgnh</t>
  </si>
  <si>
    <t>dfhhnr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</si>
</sst>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"/>
    <numFmt numFmtId="165" formatCode="[$-409]m/d/yy\ h:mm\ AM/PM;@"/>
    <numFmt numFmtId="166" formatCode="m/d/yy\ h:mm;@"/>
    <numFmt numFmtId="167" formatCode="mmmm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2" xfId="0" applyFont="1" applyBorder="1" applyAlignment="1">
      <alignment horizontal="left" indent="1"/>
    </xf>
    <xf numFmtId="0" fontId="0" fillId="0" borderId="0" xfId="0" quotePrefix="1"/>
    <xf numFmtId="14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left" indent="1"/>
    </xf>
    <xf numFmtId="0" fontId="0" fillId="0" borderId="0" xfId="0" applyAlignme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1" xfId="0" applyFont="1" applyBorder="1" applyAlignment="1">
      <alignment horizontal="left" indent="1"/>
    </xf>
    <xf numFmtId="0" fontId="3" fillId="0" borderId="0" xfId="1"/>
    <xf numFmtId="164" fontId="1" fillId="0" borderId="5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/>
    </xf>
    <xf numFmtId="2" fontId="0" fillId="0" borderId="0" xfId="0" applyNumberFormat="1"/>
    <xf numFmtId="0" fontId="0" fillId="0" borderId="0" xfId="0" applyFill="1"/>
    <xf numFmtId="0" fontId="0" fillId="0" borderId="1" xfId="0" applyBorder="1" applyAlignment="1">
      <alignment horizontal="left" indent="1"/>
    </xf>
    <xf numFmtId="166" fontId="3" fillId="0" borderId="0" xfId="1" applyNumberFormat="1"/>
    <xf numFmtId="0" fontId="0" fillId="0" borderId="7" xfId="0" applyBorder="1" applyAlignment="1">
      <alignment horizontal="left" indent="1"/>
    </xf>
    <xf numFmtId="0" fontId="1" fillId="0" borderId="3" xfId="0" applyFont="1" applyBorder="1" applyAlignment="1">
      <alignment horizontal="left" indent="1"/>
    </xf>
    <xf numFmtId="165" fontId="3" fillId="0" borderId="1" xfId="1" applyNumberFormat="1" applyBorder="1" applyAlignment="1">
      <alignment horizontal="left" indent="1"/>
    </xf>
    <xf numFmtId="22" fontId="0" fillId="0" borderId="1" xfId="0" applyNumberFormat="1" applyBorder="1" applyAlignment="1">
      <alignment horizontal="left" indent="1"/>
    </xf>
    <xf numFmtId="0" fontId="6" fillId="2" borderId="3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quotePrefix="1" applyNumberFormat="1"/>
    <xf numFmtId="165" fontId="0" fillId="0" borderId="8" xfId="0" applyNumberFormat="1" applyFont="1" applyFill="1" applyBorder="1" applyAlignment="1">
      <alignment horizontal="left" indent="1"/>
    </xf>
    <xf numFmtId="0" fontId="4" fillId="0" borderId="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164" fontId="1" fillId="0" borderId="6" xfId="0" applyNumberFormat="1" applyFont="1" applyBorder="1" applyAlignment="1">
      <alignment horizontal="left"/>
    </xf>
    <xf numFmtId="167" fontId="7" fillId="0" borderId="0" xfId="0" applyNumberFormat="1" applyFont="1" applyFill="1" applyAlignment="1">
      <alignment horizontal="center" vertical="top"/>
    </xf>
    <xf numFmtId="164" fontId="8" fillId="0" borderId="6" xfId="0" applyNumberFormat="1" applyFont="1" applyBorder="1" applyAlignment="1">
      <alignment horizontal="left" vertical="top" wrapText="1"/>
    </xf>
    <xf numFmtId="164" fontId="8" fillId="0" borderId="4" xfId="0" applyNumberFormat="1" applyFont="1" applyBorder="1" applyAlignment="1">
      <alignment horizontal="left" vertical="top" wrapText="1"/>
    </xf>
    <xf numFmtId="164" fontId="4" fillId="0" borderId="6" xfId="0" applyNumberFormat="1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numFmt numFmtId="165" formatCode="[$-409]m/d/yy\ h:mm\ AM/PM;@"/>
      <alignment horizontal="left" vertical="bottom" textRotation="0" wrapText="0" indent="1" justifyLastLine="0" shrinkToFit="0" readingOrder="0"/>
    </dxf>
    <dxf>
      <numFmt numFmtId="165" formatCode="[$-409]m/d/yy\ h:mm\ AM/PM;@"/>
      <alignment horizontal="left" vertical="bottom" textRotation="0" wrapText="0" indent="1" justifyLastLine="0" shrinkToFit="0" readingOrder="0"/>
    </dxf>
    <dxf>
      <border outline="0"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4</xdr:row>
          <xdr:rowOff>38100</xdr:rowOff>
        </xdr:from>
        <xdr:to>
          <xdr:col>15</xdr:col>
          <xdr:colOff>266700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717550</xdr:colOff>
          <xdr:row>2</xdr:row>
          <xdr:rowOff>0</xdr:rowOff>
        </xdr:from>
        <xdr:to>
          <xdr:col>5</xdr:col>
          <xdr:colOff>1162050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717550</xdr:colOff>
          <xdr:row>2</xdr:row>
          <xdr:rowOff>0</xdr:rowOff>
        </xdr:from>
        <xdr:to>
          <xdr:col>6</xdr:col>
          <xdr:colOff>1162050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2</xdr:row>
          <xdr:rowOff>0</xdr:rowOff>
        </xdr:from>
        <xdr:to>
          <xdr:col>7</xdr:col>
          <xdr:colOff>552450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D66" totalsRowShown="0" headerRowBorderDxfId="14">
  <autoFilter ref="B2:D66" xr:uid="{00000000-0009-0000-0100-000001000000}"/>
  <sortState xmlns:xlrd2="http://schemas.microsoft.com/office/spreadsheetml/2017/richdata2" ref="B3:D66">
    <sortCondition ref="C2:C66"/>
  </sortState>
  <tableColumns count="3">
    <tableColumn id="1" xr3:uid="{00000000-0010-0000-0000-000001000000}" name="Title"/>
    <tableColumn id="2" xr3:uid="{00000000-0010-0000-0000-000002000000}" name="Date and time" dataDxfId="13"/>
    <tableColumn id="3" xr3:uid="{00000000-0010-0000-0000-000003000000}" name="Time and Title" dataDxfId="12">
      <calculatedColumnFormula>TEXT(Table1[[#This Row],[Date and time]]-INT(Table1[[#This Row],[Date and time]]),"t:mm AM/PM")&amp;" - "&amp;Table1[[#This Row],[Title]]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J107"/>
  <sheetViews>
    <sheetView tabSelected="1" workbookViewId="0">
      <selection activeCell="F10" sqref="F10"/>
    </sheetView>
  </sheetViews>
  <sheetFormatPr defaultRowHeight="14.5" x14ac:dyDescent="0.35"/>
  <cols>
    <col min="1" max="1" width="2.81640625" customWidth="1"/>
    <col min="2" max="2" width="33.26953125" customWidth="1"/>
    <col min="3" max="3" width="21.453125" bestFit="1" customWidth="1"/>
    <col min="4" max="4" width="25.1796875" bestFit="1" customWidth="1"/>
    <col min="7" max="7" width="22.54296875" bestFit="1" customWidth="1"/>
    <col min="8" max="8" width="17.26953125" bestFit="1" customWidth="1"/>
    <col min="9" max="9" width="2.7265625" customWidth="1"/>
    <col min="10" max="10" width="23.7265625" bestFit="1" customWidth="1"/>
    <col min="11" max="11" width="17.26953125" bestFit="1" customWidth="1"/>
    <col min="12" max="12" width="17.453125" bestFit="1" customWidth="1"/>
  </cols>
  <sheetData>
    <row r="2" spans="2:10" x14ac:dyDescent="0.35">
      <c r="B2" s="2" t="s">
        <v>0</v>
      </c>
      <c r="C2" s="3" t="s">
        <v>14</v>
      </c>
      <c r="D2" s="3" t="s">
        <v>13</v>
      </c>
      <c r="F2" s="13" t="s">
        <v>16</v>
      </c>
    </row>
    <row r="3" spans="2:10" x14ac:dyDescent="0.35">
      <c r="B3" t="s">
        <v>1</v>
      </c>
      <c r="C3" s="7">
        <v>43831.708333333336</v>
      </c>
      <c r="D3" s="7" t="str">
        <f>TEXT(Table1[[#This Row],[Date and time]]-INT(Table1[[#This Row],[Date and time]]),"t:mm AM/PM")&amp;" - "&amp;Table1[[#This Row],[Title]]</f>
        <v>t:01 PM - Design</v>
      </c>
      <c r="J3" s="4"/>
    </row>
    <row r="4" spans="2:10" x14ac:dyDescent="0.35">
      <c r="B4" t="s">
        <v>19</v>
      </c>
      <c r="C4" s="7">
        <v>43832.708333333336</v>
      </c>
      <c r="D4" s="7" t="str">
        <f>TEXT(Table1[[#This Row],[Date and time]]-INT(Table1[[#This Row],[Date and time]]),"t:mm AM/PM")&amp;" - "&amp;Table1[[#This Row],[Title]]</f>
        <v>t:01 PM - Manufacturing</v>
      </c>
      <c r="G4" s="4" t="s">
        <v>74</v>
      </c>
      <c r="H4" s="27">
        <f ca="1">IF(DAY(TODAY())&gt;3,DATE(YEAR(TODAY()),MONTH(TODAY())+1,3)+11/24,DATE(YEAR(TODAY()),MONTH(TODAY()),3)+11/24)</f>
        <v>43864.458333333336</v>
      </c>
      <c r="J4" s="4"/>
    </row>
    <row r="5" spans="2:10" x14ac:dyDescent="0.35">
      <c r="B5" t="s">
        <v>20</v>
      </c>
      <c r="C5" s="7">
        <v>43833.708333333336</v>
      </c>
      <c r="D5" s="7" t="str">
        <f>TEXT(Table1[[#This Row],[Date and time]]-INT(Table1[[#This Row],[Date and time]]),"t:mm AM/PM")&amp;" - "&amp;Table1[[#This Row],[Title]]</f>
        <v>t:01 PM - Company</v>
      </c>
      <c r="G5" s="16" t="s">
        <v>75</v>
      </c>
      <c r="H5" s="27">
        <f ca="1">TODAY()+IF(WEEKDAY(TODAY())&lt;=3,3-WEEKDAY(TODAY()),(10-WEEKDAY(TODAY())))+15/24</f>
        <v>43844.625</v>
      </c>
      <c r="J5" s="4"/>
    </row>
    <row r="6" spans="2:10" x14ac:dyDescent="0.35">
      <c r="B6" t="s">
        <v>28</v>
      </c>
      <c r="C6" s="7">
        <v>43834.708333333336</v>
      </c>
      <c r="D6" s="7" t="str">
        <f>TEXT(Table1[[#This Row],[Date and time]]-INT(Table1[[#This Row],[Date and time]]),"t:mm AM/PM")&amp;" - "&amp;Table1[[#This Row],[Title]]</f>
        <v>t:01 PM - Skiing</v>
      </c>
      <c r="H6" s="5"/>
      <c r="J6" s="4"/>
    </row>
    <row r="7" spans="2:10" x14ac:dyDescent="0.35">
      <c r="B7" t="s">
        <v>29</v>
      </c>
      <c r="C7" s="7">
        <v>43835.708333333336</v>
      </c>
      <c r="D7" s="7" t="str">
        <f>TEXT(Table1[[#This Row],[Date and time]]-INT(Table1[[#This Row],[Date and time]]),"t:mm AM/PM")&amp;" - "&amp;Table1[[#This Row],[Title]]</f>
        <v>t:01 PM - Dinner with friends</v>
      </c>
      <c r="J7" s="4"/>
    </row>
    <row r="8" spans="2:10" x14ac:dyDescent="0.35">
      <c r="B8" t="s">
        <v>22</v>
      </c>
      <c r="C8" s="7">
        <v>43836.708333333336</v>
      </c>
      <c r="D8" s="7" t="str">
        <f>TEXT(Table1[[#This Row],[Date and time]]-INT(Table1[[#This Row],[Date and time]]),"t:mm AM/PM")&amp;" - "&amp;Table1[[#This Row],[Title]]</f>
        <v>t:01 PM - Order</v>
      </c>
      <c r="J8" s="4"/>
    </row>
    <row r="9" spans="2:10" x14ac:dyDescent="0.35">
      <c r="B9" t="s">
        <v>23</v>
      </c>
      <c r="C9" s="7">
        <v>43837.708333333336</v>
      </c>
      <c r="D9" s="7" t="str">
        <f>TEXT(Table1[[#This Row],[Date and time]]-INT(Table1[[#This Row],[Date and time]]),"t:mm AM/PM")&amp;" - "&amp;Table1[[#This Row],[Title]]</f>
        <v>t:01 PM - Lunch with John</v>
      </c>
      <c r="J9" s="4"/>
    </row>
    <row r="10" spans="2:10" x14ac:dyDescent="0.35">
      <c r="B10" t="s">
        <v>31</v>
      </c>
      <c r="C10" s="7">
        <v>43838.708333333336</v>
      </c>
      <c r="D10" s="7" t="str">
        <f>TEXT(Table1[[#This Row],[Date and time]]-INT(Table1[[#This Row],[Date and time]]),"t:mm AM/PM")&amp;" - "&amp;Table1[[#This Row],[Title]]</f>
        <v>t:01 PM - Doctor</v>
      </c>
      <c r="J10" s="4"/>
    </row>
    <row r="11" spans="2:10" x14ac:dyDescent="0.35">
      <c r="B11" t="s">
        <v>24</v>
      </c>
      <c r="C11" s="7">
        <v>43839.708333333336</v>
      </c>
      <c r="D11" s="7" t="str">
        <f>TEXT(Table1[[#This Row],[Date and time]]-INT(Table1[[#This Row],[Date and time]]),"t:mm AM/PM")&amp;" - "&amp;Table1[[#This Row],[Title]]</f>
        <v>t:01 PM - Buy grocerys</v>
      </c>
      <c r="J11" s="4"/>
    </row>
    <row r="12" spans="2:10" x14ac:dyDescent="0.35">
      <c r="B12" t="s">
        <v>26</v>
      </c>
      <c r="C12" s="7">
        <v>43840.708333333336</v>
      </c>
      <c r="D12" s="7" t="str">
        <f>TEXT(Table1[[#This Row],[Date and time]]-INT(Table1[[#This Row],[Date and time]]),"t:mm AM/PM")&amp;" - "&amp;Table1[[#This Row],[Title]]</f>
        <v>t:01 PM - Order parts</v>
      </c>
      <c r="J12" s="4"/>
    </row>
    <row r="13" spans="2:10" x14ac:dyDescent="0.35">
      <c r="B13" t="s">
        <v>27</v>
      </c>
      <c r="C13" s="7">
        <v>43841.708333333336</v>
      </c>
      <c r="D13" s="7" t="str">
        <f>TEXT(Table1[[#This Row],[Date and time]]-INT(Table1[[#This Row],[Date and time]]),"t:mm AM/PM")&amp;" - "&amp;Table1[[#This Row],[Title]]</f>
        <v>t:01 PM - Project</v>
      </c>
      <c r="J13" s="4"/>
    </row>
    <row r="14" spans="2:10" x14ac:dyDescent="0.35">
      <c r="B14" t="s">
        <v>21</v>
      </c>
      <c r="C14" s="7">
        <v>43842.708333333336</v>
      </c>
      <c r="D14" s="7" t="str">
        <f>TEXT(Table1[[#This Row],[Date and time]]-INT(Table1[[#This Row],[Date and time]]),"t:mm AM/PM")&amp;" - "&amp;Table1[[#This Row],[Title]]</f>
        <v>t:01 PM - Logistics</v>
      </c>
      <c r="J14" s="4"/>
    </row>
    <row r="15" spans="2:10" x14ac:dyDescent="0.35">
      <c r="B15" t="s">
        <v>25</v>
      </c>
      <c r="C15" s="7">
        <v>43843.708333333336</v>
      </c>
      <c r="D15" s="7" t="str">
        <f>TEXT(Table1[[#This Row],[Date and time]]-INT(Table1[[#This Row],[Date and time]]),"t:mm AM/PM")&amp;" - "&amp;Table1[[#This Row],[Title]]</f>
        <v>t:01 PM - Meeting</v>
      </c>
      <c r="J15" s="4"/>
    </row>
    <row r="16" spans="2:10" x14ac:dyDescent="0.35">
      <c r="B16" t="s">
        <v>30</v>
      </c>
      <c r="C16" s="7">
        <v>43844.708333333336</v>
      </c>
      <c r="D16" s="7" t="str">
        <f>TEXT(Table1[[#This Row],[Date and time]]-INT(Table1[[#This Row],[Date and time]]),"t:mm AM/PM")&amp;" - "&amp;Table1[[#This Row],[Title]]</f>
        <v>t:01 PM - Planning</v>
      </c>
      <c r="J16" s="4"/>
    </row>
    <row r="17" spans="2:10" x14ac:dyDescent="0.35">
      <c r="B17" t="s">
        <v>34</v>
      </c>
      <c r="C17" s="7">
        <v>43845.708333333336</v>
      </c>
      <c r="D17" s="7" t="str">
        <f>TEXT(Table1[[#This Row],[Date and time]]-INT(Table1[[#This Row],[Date and time]]),"t:mm AM/PM")&amp;" - "&amp;Table1[[#This Row],[Title]]</f>
        <v>t:01 PM - Buy dog food</v>
      </c>
      <c r="J17" s="4"/>
    </row>
    <row r="18" spans="2:10" x14ac:dyDescent="0.35">
      <c r="B18" t="s">
        <v>32</v>
      </c>
      <c r="C18" s="7">
        <v>43846.708333333336</v>
      </c>
      <c r="D18" s="7" t="str">
        <f>TEXT(Table1[[#This Row],[Date and time]]-INT(Table1[[#This Row],[Date and time]]),"t:mm AM/PM")&amp;" - "&amp;Table1[[#This Row],[Title]]</f>
        <v>t:01 PM - Order food</v>
      </c>
      <c r="J18" s="4"/>
    </row>
    <row r="19" spans="2:10" x14ac:dyDescent="0.35">
      <c r="B19" t="s">
        <v>33</v>
      </c>
      <c r="C19" s="7">
        <v>43847.708333333336</v>
      </c>
      <c r="D19" s="7" t="str">
        <f>TEXT(Table1[[#This Row],[Date and time]]-INT(Table1[[#This Row],[Date and time]]),"t:mm AM/PM")&amp;" - "&amp;Table1[[#This Row],[Title]]</f>
        <v>t:01 PM - Call friend</v>
      </c>
      <c r="J19" s="4"/>
    </row>
    <row r="20" spans="2:10" x14ac:dyDescent="0.35">
      <c r="B20" t="s">
        <v>35</v>
      </c>
      <c r="C20" s="7">
        <v>43848.708333333336</v>
      </c>
      <c r="D20" s="7" t="str">
        <f>TEXT(Table1[[#This Row],[Date and time]]-INT(Table1[[#This Row],[Date and time]]),"t:mm AM/PM")&amp;" - "&amp;Table1[[#This Row],[Title]]</f>
        <v>t:01 PM - Workout</v>
      </c>
      <c r="J20" s="4"/>
    </row>
    <row r="21" spans="2:10" x14ac:dyDescent="0.35">
      <c r="B21" t="s">
        <v>36</v>
      </c>
      <c r="C21" s="7">
        <v>43849.708333333336</v>
      </c>
      <c r="D21" s="7" t="str">
        <f>TEXT(Table1[[#This Row],[Date and time]]-INT(Table1[[#This Row],[Date and time]]),"t:mm AM/PM")&amp;" - "&amp;Table1[[#This Row],[Title]]</f>
        <v>t:01 PM - Buy stuff</v>
      </c>
      <c r="H21">
        <f ca="1">WEEKDAY(TODAY())</f>
        <v>6</v>
      </c>
      <c r="J21" s="4"/>
    </row>
    <row r="22" spans="2:10" x14ac:dyDescent="0.35">
      <c r="B22" t="s">
        <v>38</v>
      </c>
      <c r="C22" s="7">
        <v>43850.708333333336</v>
      </c>
      <c r="D22" s="7" t="str">
        <f>TEXT(Table1[[#This Row],[Date and time]]-INT(Table1[[#This Row],[Date and time]]),"t:mm AM/PM")&amp;" - "&amp;Table1[[#This Row],[Title]]</f>
        <v>t:01 PM - Get a life</v>
      </c>
      <c r="J22" s="4"/>
    </row>
    <row r="23" spans="2:10" x14ac:dyDescent="0.35">
      <c r="B23" t="s">
        <v>39</v>
      </c>
      <c r="C23" s="7">
        <v>43851.708333333336</v>
      </c>
      <c r="D23" s="7" t="str">
        <f>TEXT(Table1[[#This Row],[Date and time]]-INT(Table1[[#This Row],[Date and time]]),"t:mm AM/PM")&amp;" - "&amp;Table1[[#This Row],[Title]]</f>
        <v>t:01 PM - TV</v>
      </c>
      <c r="J23" s="4"/>
    </row>
    <row r="24" spans="2:10" x14ac:dyDescent="0.35">
      <c r="B24" t="s">
        <v>40</v>
      </c>
      <c r="C24" s="7">
        <v>43852.708333333336</v>
      </c>
      <c r="D24" s="7" t="str">
        <f>TEXT(Table1[[#This Row],[Date and time]]-INT(Table1[[#This Row],[Date and time]]),"t:mm AM/PM")&amp;" - "&amp;Table1[[#This Row],[Title]]</f>
        <v>t:01 PM - Read book</v>
      </c>
      <c r="J24" s="4"/>
    </row>
    <row r="25" spans="2:10" x14ac:dyDescent="0.35">
      <c r="B25" t="s">
        <v>41</v>
      </c>
      <c r="C25" s="7">
        <v>43853.708333333336</v>
      </c>
      <c r="D25" s="7" t="str">
        <f>TEXT(Table1[[#This Row],[Date and time]]-INT(Table1[[#This Row],[Date and time]]),"t:mm AM/PM")&amp;" - "&amp;Table1[[#This Row],[Title]]</f>
        <v>t:01 PM - Restaurant</v>
      </c>
      <c r="J25" s="4"/>
    </row>
    <row r="26" spans="2:10" x14ac:dyDescent="0.35">
      <c r="B26" t="s">
        <v>42</v>
      </c>
      <c r="C26" s="7">
        <v>43854.708333333336</v>
      </c>
      <c r="D26" s="7" t="str">
        <f>TEXT(Table1[[#This Row],[Date and time]]-INT(Table1[[#This Row],[Date and time]]),"t:mm AM/PM")&amp;" - "&amp;Table1[[#This Row],[Title]]</f>
        <v>t:01 PM - Go to work</v>
      </c>
      <c r="J26" s="4"/>
    </row>
    <row r="27" spans="2:10" x14ac:dyDescent="0.35">
      <c r="B27" t="s">
        <v>43</v>
      </c>
      <c r="C27" s="7">
        <v>43855.708333333336</v>
      </c>
      <c r="D27" s="7" t="str">
        <f>TEXT(Table1[[#This Row],[Date and time]]-INT(Table1[[#This Row],[Date and time]]),"t:mm AM/PM")&amp;" - "&amp;Table1[[#This Row],[Title]]</f>
        <v>t:01 PM - Buy guitar</v>
      </c>
      <c r="J27" s="4"/>
    </row>
    <row r="28" spans="2:10" x14ac:dyDescent="0.35">
      <c r="B28" t="s">
        <v>44</v>
      </c>
      <c r="C28" s="7">
        <v>43856.708333333336</v>
      </c>
      <c r="D28" s="7" t="str">
        <f>TEXT(Table1[[#This Row],[Date and time]]-INT(Table1[[#This Row],[Date and time]]),"t:mm AM/PM")&amp;" - "&amp;Table1[[#This Row],[Title]]</f>
        <v>t:01 PM - Cook meal</v>
      </c>
      <c r="J28" s="4"/>
    </row>
    <row r="29" spans="2:10" x14ac:dyDescent="0.35">
      <c r="B29" t="s">
        <v>51</v>
      </c>
      <c r="C29" s="7">
        <v>43857.708333333336</v>
      </c>
      <c r="D29" s="7" t="str">
        <f>TEXT(Table1[[#This Row],[Date and time]]-INT(Table1[[#This Row],[Date and time]]),"t:mm AM/PM")&amp;" - "&amp;Table1[[#This Row],[Title]]</f>
        <v>t:01 PM - Sleep</v>
      </c>
      <c r="J29" s="4"/>
    </row>
    <row r="30" spans="2:10" x14ac:dyDescent="0.35">
      <c r="B30" t="s">
        <v>45</v>
      </c>
      <c r="C30" s="7">
        <v>43858.708333333336</v>
      </c>
      <c r="D30" s="7" t="str">
        <f>TEXT(Table1[[#This Row],[Date and time]]-INT(Table1[[#This Row],[Date and time]]),"t:mm AM/PM")&amp;" - "&amp;Table1[[#This Row],[Title]]</f>
        <v>t:01 PM - Wake up</v>
      </c>
      <c r="J30" s="4"/>
    </row>
    <row r="31" spans="2:10" x14ac:dyDescent="0.35">
      <c r="B31" t="s">
        <v>46</v>
      </c>
      <c r="C31" s="7">
        <v>43859.708333333336</v>
      </c>
      <c r="D31" s="7" t="str">
        <f>TEXT(Table1[[#This Row],[Date and time]]-INT(Table1[[#This Row],[Date and time]]),"t:mm AM/PM")&amp;" - "&amp;Table1[[#This Row],[Title]]</f>
        <v>t:01 PM - TGIF</v>
      </c>
      <c r="J31" s="4"/>
    </row>
    <row r="32" spans="2:10" x14ac:dyDescent="0.35">
      <c r="B32" t="s">
        <v>47</v>
      </c>
      <c r="C32" s="7">
        <v>43860.708333333336</v>
      </c>
      <c r="D32" s="7" t="str">
        <f>TEXT(Table1[[#This Row],[Date and time]]-INT(Table1[[#This Row],[Date and time]]),"t:mm AM/PM")&amp;" - "&amp;Table1[[#This Row],[Title]]</f>
        <v>t:01 PM - Visit powerplant</v>
      </c>
      <c r="J32" s="4"/>
    </row>
    <row r="33" spans="2:10" x14ac:dyDescent="0.35">
      <c r="B33" t="s">
        <v>48</v>
      </c>
      <c r="C33" s="7">
        <v>43861.708333333336</v>
      </c>
      <c r="D33" s="7" t="str">
        <f>TEXT(Table1[[#This Row],[Date and time]]-INT(Table1[[#This Row],[Date and time]]),"t:mm AM/PM")&amp;" - "&amp;Table1[[#This Row],[Title]]</f>
        <v>t:01 PM - Sleep all day</v>
      </c>
      <c r="J33" s="4"/>
    </row>
    <row r="34" spans="2:10" x14ac:dyDescent="0.35">
      <c r="B34" t="s">
        <v>70</v>
      </c>
      <c r="C34" s="7">
        <v>43862.708333333336</v>
      </c>
      <c r="D34" s="7" t="str">
        <f>TEXT(Table1[[#This Row],[Date and time]]-INT(Table1[[#This Row],[Date and time]]),"t:mm AM/PM")&amp;" - "&amp;Table1[[#This Row],[Title]]</f>
        <v>t:01 PM - Ice Cream</v>
      </c>
      <c r="J34" s="4"/>
    </row>
    <row r="35" spans="2:10" x14ac:dyDescent="0.35">
      <c r="B35" t="s">
        <v>49</v>
      </c>
      <c r="C35" s="7">
        <v>43863.708333333336</v>
      </c>
      <c r="D35" s="7" t="str">
        <f>TEXT(Table1[[#This Row],[Date and time]]-INT(Table1[[#This Row],[Date and time]]),"t:mm AM/PM")&amp;" - "&amp;Table1[[#This Row],[Title]]</f>
        <v>t:01 PM - Let me out</v>
      </c>
      <c r="J35" s="4"/>
    </row>
    <row r="36" spans="2:10" x14ac:dyDescent="0.35">
      <c r="B36" t="s">
        <v>50</v>
      </c>
      <c r="C36" s="7">
        <v>43864.708333333336</v>
      </c>
      <c r="D36" s="7" t="str">
        <f>TEXT(Table1[[#This Row],[Date and time]]-INT(Table1[[#This Row],[Date and time]]),"t:mm AM/PM")&amp;" - "&amp;Table1[[#This Row],[Title]]</f>
        <v>t:01 PM - Call Doktor</v>
      </c>
      <c r="J36" s="4"/>
    </row>
    <row r="37" spans="2:10" x14ac:dyDescent="0.35">
      <c r="B37" t="s">
        <v>52</v>
      </c>
      <c r="C37" s="7">
        <v>43865.708333333336</v>
      </c>
      <c r="D37" s="7" t="str">
        <f>TEXT(Table1[[#This Row],[Date and time]]-INT(Table1[[#This Row],[Date and time]]),"t:mm AM/PM")&amp;" - "&amp;Table1[[#This Row],[Title]]</f>
        <v>t:01 PM - Examine my head</v>
      </c>
      <c r="J37" s="4"/>
    </row>
    <row r="38" spans="2:10" x14ac:dyDescent="0.35">
      <c r="B38" t="s">
        <v>37</v>
      </c>
      <c r="C38" s="7">
        <v>43866.708333333336</v>
      </c>
      <c r="D38" s="7" t="str">
        <f>TEXT(Table1[[#This Row],[Date and time]]-INT(Table1[[#This Row],[Date and time]]),"t:mm AM/PM")&amp;" - "&amp;Table1[[#This Row],[Title]]</f>
        <v>t:01 PM - Find keys</v>
      </c>
    </row>
    <row r="39" spans="2:10" x14ac:dyDescent="0.35">
      <c r="B39" t="s">
        <v>53</v>
      </c>
      <c r="C39" s="7">
        <v>43867.708333333336</v>
      </c>
      <c r="D39" s="7" t="str">
        <f>TEXT(Table1[[#This Row],[Date and time]]-INT(Table1[[#This Row],[Date and time]]),"t:mm AM/PM")&amp;" - "&amp;Table1[[#This Row],[Title]]</f>
        <v>t:01 PM - Find my walker</v>
      </c>
      <c r="J39" s="4"/>
    </row>
    <row r="40" spans="2:10" x14ac:dyDescent="0.35">
      <c r="B40" t="s">
        <v>54</v>
      </c>
      <c r="C40" s="7">
        <v>43868.708333333336</v>
      </c>
      <c r="D40" s="7" t="str">
        <f>TEXT(Table1[[#This Row],[Date and time]]-INT(Table1[[#This Row],[Date and time]]),"t:mm AM/PM")&amp;" - "&amp;Table1[[#This Row],[Title]]</f>
        <v>t:01 PM - medicine?</v>
      </c>
      <c r="J40" s="4"/>
    </row>
    <row r="41" spans="2:10" x14ac:dyDescent="0.35">
      <c r="B41" t="s">
        <v>55</v>
      </c>
      <c r="C41" s="7">
        <v>43869.708333333336</v>
      </c>
      <c r="D41" s="7" t="str">
        <f>TEXT(Table1[[#This Row],[Date and time]]-INT(Table1[[#This Row],[Date and time]]),"t:mm AM/PM")&amp;" - "&amp;Table1[[#This Row],[Title]]</f>
        <v>t:01 PM - Church</v>
      </c>
      <c r="J41" s="4"/>
    </row>
    <row r="42" spans="2:10" x14ac:dyDescent="0.35">
      <c r="B42" t="s">
        <v>56</v>
      </c>
      <c r="C42" s="7">
        <v>43870.708333333336</v>
      </c>
      <c r="D42" s="7" t="str">
        <f>TEXT(Table1[[#This Row],[Date and time]]-INT(Table1[[#This Row],[Date and time]]),"t:mm AM/PM")&amp;" - "&amp;Table1[[#This Row],[Title]]</f>
        <v>t:01 PM - Bills</v>
      </c>
      <c r="J42" s="4"/>
    </row>
    <row r="43" spans="2:10" x14ac:dyDescent="0.35">
      <c r="B43" t="s">
        <v>57</v>
      </c>
      <c r="C43" s="7">
        <v>43871.708333333336</v>
      </c>
      <c r="D43" s="7" t="str">
        <f>TEXT(Table1[[#This Row],[Date and time]]-INT(Table1[[#This Row],[Date and time]]),"t:mm AM/PM")&amp;" - "&amp;Table1[[#This Row],[Title]]</f>
        <v>t:01 PM - I forgot</v>
      </c>
      <c r="J43" s="4"/>
    </row>
    <row r="44" spans="2:10" x14ac:dyDescent="0.35">
      <c r="B44" t="s">
        <v>77</v>
      </c>
      <c r="C44" s="7">
        <v>43872.708333333336</v>
      </c>
      <c r="D44" s="7" t="str">
        <f>TEXT(Table1[[#This Row],[Date and time]]-INT(Table1[[#This Row],[Date and time]]),"t:mm AM/PM")&amp;" - "&amp;Table1[[#This Row],[Title]]</f>
        <v>t:01 PM - Dog</v>
      </c>
      <c r="J44" s="26"/>
    </row>
    <row r="45" spans="2:10" x14ac:dyDescent="0.35">
      <c r="B45" t="s">
        <v>76</v>
      </c>
      <c r="C45" s="7">
        <v>43873.708333333336</v>
      </c>
      <c r="D45" s="7" t="str">
        <f>TEXT(Table1[[#This Row],[Date and time]]-INT(Table1[[#This Row],[Date and time]]),"t:mm AM/PM")&amp;" - "&amp;Table1[[#This Row],[Title]]</f>
        <v>t:01 PM - Test</v>
      </c>
      <c r="J45" s="4"/>
    </row>
    <row r="46" spans="2:10" x14ac:dyDescent="0.35">
      <c r="B46" t="s">
        <v>25</v>
      </c>
      <c r="C46" s="7">
        <v>43874.708333333336</v>
      </c>
      <c r="D46" s="7" t="str">
        <f>TEXT(Table1[[#This Row],[Date and time]]-INT(Table1[[#This Row],[Date and time]]),"t:mm AM/PM")&amp;" - "&amp;Table1[[#This Row],[Title]]</f>
        <v>t:01 PM - Meeting</v>
      </c>
      <c r="J46" s="4"/>
    </row>
    <row r="47" spans="2:10" x14ac:dyDescent="0.35">
      <c r="B47" t="s">
        <v>58</v>
      </c>
      <c r="C47" s="7">
        <v>43875.708333333336</v>
      </c>
      <c r="D47" s="7" t="str">
        <f>TEXT(Table1[[#This Row],[Date and time]]-INT(Table1[[#This Row],[Date and time]]),"t:mm AM/PM")&amp;" - "&amp;Table1[[#This Row],[Title]]</f>
        <v>t:01 PM - Go for a walk</v>
      </c>
      <c r="J47" s="4"/>
    </row>
    <row r="48" spans="2:10" x14ac:dyDescent="0.35">
      <c r="B48" t="s">
        <v>59</v>
      </c>
      <c r="C48" s="7">
        <v>43876.708333333336</v>
      </c>
      <c r="D48" s="7" t="str">
        <f>TEXT(Table1[[#This Row],[Date and time]]-INT(Table1[[#This Row],[Date and time]]),"t:mm AM/PM")&amp;" - "&amp;Table1[[#This Row],[Title]]</f>
        <v>t:01 PM - Drive home</v>
      </c>
      <c r="J48" s="4"/>
    </row>
    <row r="49" spans="2:10" x14ac:dyDescent="0.35">
      <c r="B49" t="s">
        <v>60</v>
      </c>
      <c r="C49" s="7">
        <v>43877.708333333336</v>
      </c>
      <c r="D49" s="7" t="str">
        <f>TEXT(Table1[[#This Row],[Date and time]]-INT(Table1[[#This Row],[Date and time]]),"t:mm AM/PM")&amp;" - "&amp;Table1[[#This Row],[Title]]</f>
        <v>t:01 PM - Eat</v>
      </c>
      <c r="J49" s="4"/>
    </row>
    <row r="50" spans="2:10" x14ac:dyDescent="0.35">
      <c r="B50" t="s">
        <v>78</v>
      </c>
      <c r="C50" s="7">
        <v>43878.708333333336</v>
      </c>
      <c r="D50" s="7" t="str">
        <f>TEXT(Table1[[#This Row],[Date and time]]-INT(Table1[[#This Row],[Date and time]]),"t:mm AM/PM")&amp;" - "&amp;Table1[[#This Row],[Title]]</f>
        <v>t:01 PM - teefg</v>
      </c>
      <c r="J50" s="4"/>
    </row>
    <row r="51" spans="2:10" x14ac:dyDescent="0.35">
      <c r="B51" t="s">
        <v>61</v>
      </c>
      <c r="C51" s="7">
        <v>43879.708333333336</v>
      </c>
      <c r="D51" s="7" t="str">
        <f>TEXT(Table1[[#This Row],[Date and time]]-INT(Table1[[#This Row],[Date and time]]),"t:mm AM/PM")&amp;" - "&amp;Table1[[#This Row],[Title]]</f>
        <v>t:01 PM - Buy food</v>
      </c>
      <c r="J51" s="4"/>
    </row>
    <row r="52" spans="2:10" x14ac:dyDescent="0.35">
      <c r="B52" t="s">
        <v>79</v>
      </c>
      <c r="C52" s="7">
        <v>43880.708333333336</v>
      </c>
      <c r="D52" s="7" t="str">
        <f>TEXT(Table1[[#This Row],[Date and time]]-INT(Table1[[#This Row],[Date and time]]),"t:mm AM/PM")&amp;" - "&amp;Table1[[#This Row],[Title]]</f>
        <v>t:01 PM - fgnh</v>
      </c>
      <c r="J52" s="4"/>
    </row>
    <row r="53" spans="2:10" x14ac:dyDescent="0.35">
      <c r="B53" t="s">
        <v>62</v>
      </c>
      <c r="C53" s="7">
        <v>43881.708333333336</v>
      </c>
      <c r="D53" s="7" t="str">
        <f>TEXT(Table1[[#This Row],[Date and time]]-INT(Table1[[#This Row],[Date and time]]),"t:mm AM/PM")&amp;" - "&amp;Table1[[#This Row],[Title]]</f>
        <v>t:01 PM - Garbage</v>
      </c>
      <c r="J53" s="4"/>
    </row>
    <row r="54" spans="2:10" x14ac:dyDescent="0.35">
      <c r="B54" t="s">
        <v>80</v>
      </c>
      <c r="C54" s="7">
        <v>43882.708333333336</v>
      </c>
      <c r="D54" s="7" t="str">
        <f>TEXT(Table1[[#This Row],[Date and time]]-INT(Table1[[#This Row],[Date and time]]),"t:mm AM/PM")&amp;" - "&amp;Table1[[#This Row],[Title]]</f>
        <v>t:01 PM - dfhhnr</v>
      </c>
      <c r="J54" s="4"/>
    </row>
    <row r="55" spans="2:10" x14ac:dyDescent="0.35">
      <c r="B55" t="s">
        <v>71</v>
      </c>
      <c r="C55" s="7">
        <v>43883.708333333336</v>
      </c>
      <c r="D55" s="7" t="str">
        <f>TEXT(Table1[[#This Row],[Date and time]]-INT(Table1[[#This Row],[Date and time]]),"t:mm AM/PM")&amp;" - "&amp;Table1[[#This Row],[Title]]</f>
        <v>t:01 PM - Am I sleeping?</v>
      </c>
      <c r="J55" s="4"/>
    </row>
    <row r="56" spans="2:10" x14ac:dyDescent="0.35">
      <c r="B56" t="s">
        <v>63</v>
      </c>
      <c r="C56" s="7">
        <v>43884.708333333336</v>
      </c>
      <c r="D56" s="7" t="str">
        <f>TEXT(Table1[[#This Row],[Date and time]]-INT(Table1[[#This Row],[Date and time]]),"t:mm AM/PM")&amp;" - "&amp;Table1[[#This Row],[Title]]</f>
        <v>t:01 PM - Don't think so</v>
      </c>
      <c r="J56" s="4"/>
    </row>
    <row r="57" spans="2:10" x14ac:dyDescent="0.35">
      <c r="B57" t="s">
        <v>64</v>
      </c>
      <c r="C57" s="7">
        <v>43885.708333333336</v>
      </c>
      <c r="D57" s="7" t="str">
        <f>TEXT(Table1[[#This Row],[Date and time]]-INT(Table1[[#This Row],[Date and time]]),"t:mm AM/PM")&amp;" - "&amp;Table1[[#This Row],[Title]]</f>
        <v>t:01 PM - Lunch with Tim</v>
      </c>
      <c r="J57" s="4"/>
    </row>
    <row r="58" spans="2:10" x14ac:dyDescent="0.35">
      <c r="B58" t="s">
        <v>72</v>
      </c>
      <c r="C58" s="7">
        <v>43886.708333333336</v>
      </c>
      <c r="D58" s="7" t="str">
        <f>TEXT(Table1[[#This Row],[Date and time]]-INT(Table1[[#This Row],[Date and time]]),"t:mm AM/PM")&amp;" - "&amp;Table1[[#This Row],[Title]]</f>
        <v>t:01 PM - Be happy</v>
      </c>
      <c r="J58" s="4"/>
    </row>
    <row r="59" spans="2:10" x14ac:dyDescent="0.35">
      <c r="B59" t="s">
        <v>65</v>
      </c>
      <c r="C59" s="7">
        <v>43887.708333333336</v>
      </c>
      <c r="D59" s="7" t="str">
        <f>TEXT(Table1[[#This Row],[Date and time]]-INT(Table1[[#This Row],[Date and time]]),"t:mm AM/PM")&amp;" - "&amp;Table1[[#This Row],[Title]]</f>
        <v>t:01 PM - Get up</v>
      </c>
    </row>
    <row r="60" spans="2:10" x14ac:dyDescent="0.35">
      <c r="B60" t="s">
        <v>66</v>
      </c>
      <c r="C60" s="7">
        <v>43888.708333333336</v>
      </c>
      <c r="D60" s="7" t="str">
        <f>TEXT(Table1[[#This Row],[Date and time]]-INT(Table1[[#This Row],[Date and time]]),"t:mm AM/PM")&amp;" - "&amp;Table1[[#This Row],[Title]]</f>
        <v>t:01 PM - Eat breakfast</v>
      </c>
    </row>
    <row r="61" spans="2:10" x14ac:dyDescent="0.35">
      <c r="B61" t="s">
        <v>67</v>
      </c>
      <c r="C61" s="7">
        <v>43889.708333333336</v>
      </c>
      <c r="D61" s="7" t="str">
        <f>TEXT(Table1[[#This Row],[Date and time]]-INT(Table1[[#This Row],[Date and time]]),"t:mm AM/PM")&amp;" - "&amp;Table1[[#This Row],[Title]]</f>
        <v>t:01 PM - Travel</v>
      </c>
    </row>
    <row r="62" spans="2:10" x14ac:dyDescent="0.35">
      <c r="B62" t="s">
        <v>68</v>
      </c>
      <c r="C62" s="7">
        <v>43890.708333333336</v>
      </c>
      <c r="D62" s="7" t="str">
        <f>TEXT(Table1[[#This Row],[Date and time]]-INT(Table1[[#This Row],[Date and time]]),"t:mm AM/PM")&amp;" - "&amp;Table1[[#This Row],[Title]]</f>
        <v>t:01 PM - Find hotel</v>
      </c>
    </row>
    <row r="63" spans="2:10" x14ac:dyDescent="0.35">
      <c r="B63" t="s">
        <v>69</v>
      </c>
      <c r="C63" s="7">
        <v>43891.708333333336</v>
      </c>
      <c r="D63" s="7" t="str">
        <f>TEXT(Table1[[#This Row],[Date and time]]-INT(Table1[[#This Row],[Date and time]]),"t:mm AM/PM")&amp;" - "&amp;Table1[[#This Row],[Title]]</f>
        <v>t:01 PM - Call Laura</v>
      </c>
    </row>
    <row r="64" spans="2:10" x14ac:dyDescent="0.35">
      <c r="B64" t="s">
        <v>76</v>
      </c>
      <c r="C64" s="7">
        <v>43892.708333333336</v>
      </c>
      <c r="D64" s="7" t="str">
        <f>TEXT(Table1[[#This Row],[Date and time]]-INT(Table1[[#This Row],[Date and time]]),"t:mm AM/PM")&amp;" - "&amp;Table1[[#This Row],[Title]]</f>
        <v>t:01 PM - Test</v>
      </c>
    </row>
    <row r="65" spans="2:4" x14ac:dyDescent="0.35">
      <c r="B65" t="s">
        <v>18</v>
      </c>
      <c r="C65" s="7">
        <v>43893.708333333336</v>
      </c>
      <c r="D65" s="7" t="str">
        <f>TEXT(Table1[[#This Row],[Date and time]]-INT(Table1[[#This Row],[Date and time]]),"t:mm AM/PM")&amp;" - "&amp;Table1[[#This Row],[Title]]</f>
        <v xml:space="preserve">t:01 PM - Procurement </v>
      </c>
    </row>
    <row r="66" spans="2:4" x14ac:dyDescent="0.35">
      <c r="B66" t="s">
        <v>73</v>
      </c>
      <c r="C66" s="7">
        <v>43894.708333333336</v>
      </c>
      <c r="D66" s="7" t="str">
        <f>TEXT(Table1[[#This Row],[Date and time]]-INT(Table1[[#This Row],[Date and time]]),"t:mm AM/PM")&amp;" - "&amp;Table1[[#This Row],[Title]]</f>
        <v>t:01 PM - Recurring task</v>
      </c>
    </row>
    <row r="67" spans="2:4" x14ac:dyDescent="0.35">
      <c r="C67" s="7"/>
      <c r="D67" s="7"/>
    </row>
    <row r="68" spans="2:4" x14ac:dyDescent="0.35">
      <c r="C68" s="7"/>
      <c r="D68" s="7"/>
    </row>
    <row r="69" spans="2:4" x14ac:dyDescent="0.35">
      <c r="C69" s="7"/>
      <c r="D69" s="7"/>
    </row>
    <row r="70" spans="2:4" x14ac:dyDescent="0.35">
      <c r="C70" s="7"/>
      <c r="D70" s="7"/>
    </row>
    <row r="71" spans="2:4" x14ac:dyDescent="0.35">
      <c r="C71" s="7"/>
      <c r="D71" s="7"/>
    </row>
    <row r="72" spans="2:4" x14ac:dyDescent="0.35">
      <c r="C72" s="7"/>
      <c r="D72" s="7"/>
    </row>
    <row r="73" spans="2:4" x14ac:dyDescent="0.35">
      <c r="C73" s="7"/>
      <c r="D73" s="7"/>
    </row>
    <row r="74" spans="2:4" x14ac:dyDescent="0.35">
      <c r="C74" s="7"/>
      <c r="D74" s="7"/>
    </row>
    <row r="75" spans="2:4" x14ac:dyDescent="0.35">
      <c r="C75" s="7"/>
      <c r="D75" s="7"/>
    </row>
    <row r="76" spans="2:4" x14ac:dyDescent="0.35">
      <c r="C76" s="7"/>
      <c r="D76" s="7"/>
    </row>
    <row r="77" spans="2:4" x14ac:dyDescent="0.35">
      <c r="C77" s="7"/>
      <c r="D77" s="7"/>
    </row>
    <row r="78" spans="2:4" x14ac:dyDescent="0.35">
      <c r="C78" s="7"/>
      <c r="D78" s="7"/>
    </row>
    <row r="79" spans="2:4" x14ac:dyDescent="0.35">
      <c r="C79" s="7"/>
      <c r="D79" s="7"/>
    </row>
    <row r="80" spans="2:4" x14ac:dyDescent="0.35">
      <c r="C80" s="7"/>
      <c r="D80" s="7"/>
    </row>
    <row r="81" spans="3:4" x14ac:dyDescent="0.35">
      <c r="C81" s="7"/>
      <c r="D81" s="7"/>
    </row>
    <row r="82" spans="3:4" x14ac:dyDescent="0.35">
      <c r="C82" s="7"/>
      <c r="D82" s="7"/>
    </row>
    <row r="83" spans="3:4" x14ac:dyDescent="0.35">
      <c r="C83" s="7"/>
      <c r="D83" s="7"/>
    </row>
    <row r="84" spans="3:4" x14ac:dyDescent="0.35">
      <c r="C84" s="7"/>
      <c r="D84" s="7"/>
    </row>
    <row r="85" spans="3:4" x14ac:dyDescent="0.35">
      <c r="C85" s="7"/>
      <c r="D85" s="7"/>
    </row>
    <row r="86" spans="3:4" x14ac:dyDescent="0.35">
      <c r="C86" s="7"/>
      <c r="D86" s="7"/>
    </row>
    <row r="87" spans="3:4" x14ac:dyDescent="0.35">
      <c r="C87" s="7"/>
      <c r="D87" s="7"/>
    </row>
    <row r="88" spans="3:4" x14ac:dyDescent="0.35">
      <c r="C88" s="7"/>
      <c r="D88" s="7"/>
    </row>
    <row r="89" spans="3:4" x14ac:dyDescent="0.35">
      <c r="C89" s="7"/>
      <c r="D89" s="7"/>
    </row>
    <row r="90" spans="3:4" x14ac:dyDescent="0.35">
      <c r="C90" s="7"/>
      <c r="D90" s="7"/>
    </row>
    <row r="91" spans="3:4" x14ac:dyDescent="0.35">
      <c r="C91" s="7"/>
      <c r="D91" s="7"/>
    </row>
    <row r="92" spans="3:4" x14ac:dyDescent="0.35">
      <c r="C92" s="7"/>
      <c r="D92" s="7"/>
    </row>
    <row r="93" spans="3:4" x14ac:dyDescent="0.35">
      <c r="C93" s="7"/>
      <c r="D93" s="7"/>
    </row>
    <row r="94" spans="3:4" x14ac:dyDescent="0.35">
      <c r="C94" s="7"/>
      <c r="D94" s="7"/>
    </row>
    <row r="95" spans="3:4" x14ac:dyDescent="0.35">
      <c r="C95" s="7"/>
      <c r="D95" s="7"/>
    </row>
    <row r="96" spans="3:4" x14ac:dyDescent="0.35">
      <c r="C96" s="7"/>
      <c r="D96" s="7"/>
    </row>
    <row r="97" spans="3:4" x14ac:dyDescent="0.35">
      <c r="C97" s="7"/>
      <c r="D97" s="7"/>
    </row>
    <row r="98" spans="3:4" x14ac:dyDescent="0.35">
      <c r="C98" s="7"/>
      <c r="D98" s="7"/>
    </row>
    <row r="99" spans="3:4" x14ac:dyDescent="0.35">
      <c r="C99" s="7"/>
      <c r="D99" s="7"/>
    </row>
    <row r="100" spans="3:4" x14ac:dyDescent="0.35">
      <c r="C100" s="7"/>
      <c r="D100" s="7"/>
    </row>
    <row r="101" spans="3:4" x14ac:dyDescent="0.35">
      <c r="C101" s="7"/>
      <c r="D101" s="7"/>
    </row>
    <row r="102" spans="3:4" x14ac:dyDescent="0.35">
      <c r="C102" s="7"/>
      <c r="D102" s="7"/>
    </row>
    <row r="103" spans="3:4" x14ac:dyDescent="0.35">
      <c r="C103" s="7"/>
      <c r="D103" s="7"/>
    </row>
    <row r="104" spans="3:4" x14ac:dyDescent="0.35">
      <c r="C104" s="7"/>
      <c r="D104" s="7"/>
    </row>
    <row r="105" spans="3:4" x14ac:dyDescent="0.35">
      <c r="C105" s="7"/>
      <c r="D105" s="7"/>
    </row>
    <row r="106" spans="3:4" x14ac:dyDescent="0.35">
      <c r="C106" s="7"/>
      <c r="D106" s="7"/>
    </row>
    <row r="107" spans="3:4" x14ac:dyDescent="0.35">
      <c r="C107" s="7"/>
      <c r="D107" s="7"/>
    </row>
  </sheetData>
  <hyperlinks>
    <hyperlink ref="F2" location="'Monthly schedule 3'!A1" display="Go to calendar" xr:uid="{00000000-0004-0000-0000-000000000000}"/>
  </hyperlinks>
  <printOptions headings="1" gridLines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N71"/>
  <sheetViews>
    <sheetView showGridLines="0" workbookViewId="0">
      <selection activeCell="D4" sqref="D4"/>
    </sheetView>
  </sheetViews>
  <sheetFormatPr defaultRowHeight="14.5" x14ac:dyDescent="0.35"/>
  <cols>
    <col min="1" max="1" width="2.81640625" customWidth="1"/>
    <col min="2" max="8" width="18.26953125" customWidth="1"/>
    <col min="9" max="9" width="2.81640625" customWidth="1"/>
    <col min="10" max="10" width="18.26953125" customWidth="1"/>
    <col min="11" max="11" width="36.81640625" customWidth="1"/>
    <col min="12" max="12" width="2.81640625" customWidth="1"/>
    <col min="13" max="13" width="18.26953125" customWidth="1"/>
    <col min="14" max="14" width="36.81640625" customWidth="1"/>
  </cols>
  <sheetData>
    <row r="2" spans="2:14" x14ac:dyDescent="0.35">
      <c r="D2" s="31">
        <v>43900</v>
      </c>
      <c r="E2" s="31"/>
      <c r="G2" s="9" t="s">
        <v>11</v>
      </c>
      <c r="H2" s="10" t="s">
        <v>10</v>
      </c>
      <c r="K2" s="5"/>
    </row>
    <row r="3" spans="2:14" x14ac:dyDescent="0.35">
      <c r="B3" s="13" t="s">
        <v>15</v>
      </c>
      <c r="D3" s="31"/>
      <c r="E3" s="31"/>
      <c r="G3" s="8"/>
      <c r="J3" s="11" t="s">
        <v>12</v>
      </c>
      <c r="K3" s="6">
        <v>42698</v>
      </c>
      <c r="M3" s="1" t="s">
        <v>17</v>
      </c>
    </row>
    <row r="5" spans="2:14" x14ac:dyDescent="0.35">
      <c r="B5" s="24" t="s">
        <v>2</v>
      </c>
      <c r="C5" s="25" t="s">
        <v>3</v>
      </c>
      <c r="D5" s="25" t="s">
        <v>4</v>
      </c>
      <c r="E5" s="25" t="s">
        <v>5</v>
      </c>
      <c r="F5" s="25" t="s">
        <v>6</v>
      </c>
      <c r="G5" s="25" t="s">
        <v>7</v>
      </c>
      <c r="H5" s="25" t="s">
        <v>8</v>
      </c>
      <c r="J5" s="21" t="s">
        <v>9</v>
      </c>
      <c r="K5" s="12" t="s">
        <v>0</v>
      </c>
      <c r="M5" s="12" t="s">
        <v>9</v>
      </c>
      <c r="N5" s="12" t="s">
        <v>0</v>
      </c>
    </row>
    <row r="6" spans="2:14" x14ac:dyDescent="0.35">
      <c r="B6" s="14">
        <f>DATE(YEAR(D2),MONTH(D2),1)-WEEKDAY(DATE(YEAR(D2),MONTH(D2),1))+1</f>
        <v>43891</v>
      </c>
      <c r="C6" s="15">
        <f t="shared" ref="C6:H6" si="0">B6+1</f>
        <v>43892</v>
      </c>
      <c r="D6" s="15">
        <f t="shared" si="0"/>
        <v>43893</v>
      </c>
      <c r="E6" s="15">
        <f t="shared" si="0"/>
        <v>43894</v>
      </c>
      <c r="F6" s="15">
        <f t="shared" si="0"/>
        <v>43895</v>
      </c>
      <c r="G6" s="15">
        <f t="shared" si="0"/>
        <v>43896</v>
      </c>
      <c r="H6" s="15">
        <f t="shared" si="0"/>
        <v>43897</v>
      </c>
      <c r="J6" s="22" t="str">
        <f t="array" ref="J6">IFERROR(HYPERLINK("[Calendar-monthly-view3.xlsm]Schedule!$B$"&amp;MATCH(SMALL(IF('Monthly view'!$K$3=INT(Table1[Date and time]),Table1[Date and time],""),ROW(A1)),Table1[Date and time],0)+2,SMALL(IF('Monthly view'!$K$3=INT(Table1[Date and time]),Table1[Date and time],""),ROW(A1))),"")</f>
        <v/>
      </c>
      <c r="K6" s="20" t="str">
        <f t="array" ref="K6">IFERROR(INDEX(Table1[Title],SMALL(IF('Monthly view'!$K$3=INT(Table1[Date and time]),MATCH(ROW(Table1[Date and time]),ROW(Table1[Date and time])),""),ROW(A1))),"")</f>
        <v/>
      </c>
      <c r="M6" s="23"/>
      <c r="N6" s="18"/>
    </row>
    <row r="7" spans="2:14" ht="15" customHeight="1" x14ac:dyDescent="0.35">
      <c r="B7" s="36" t="str">
        <f>Lookup_concat(B6,Table1[Date and time],Table1[Time and Title])</f>
        <v xml:space="preserve">t:01 PM - Call Laura_x000D_
</v>
      </c>
      <c r="C7" s="36" t="str">
        <f>Lookup_concat(C6,Table1[Date and time],Table1[Time and Title])</f>
        <v xml:space="preserve">t:01 PM - Test_x000D_
</v>
      </c>
      <c r="D7" s="36" t="str">
        <f>Lookup_concat(D6,Table1[Date and time],Table1[Time and Title])</f>
        <v xml:space="preserve">t:01 PM - Procurement _x000D_
</v>
      </c>
      <c r="E7" s="36" t="str">
        <f>Lookup_concat(E6,Table1[Date and time],Table1[Time and Title])</f>
        <v xml:space="preserve">t:01 PM - Recurring task_x000D_
</v>
      </c>
      <c r="F7" s="36" t="str">
        <f>Lookup_concat(F6,Table1[Date and time],Table1[Time and Title])</f>
        <v/>
      </c>
      <c r="G7" s="36" t="str">
        <f>Lookup_concat(G6,Table1[Date and time],Table1[Time and Title])</f>
        <v/>
      </c>
      <c r="H7" s="36" t="str">
        <f>Lookup_concat(H6,Table1[Date and time],Table1[Time and Title])</f>
        <v/>
      </c>
      <c r="J7" s="22" t="str">
        <f t="array" ref="J7">IFERROR(HYPERLINK("[Calendar-monthly-view3.xlsm]Schedule!$B$"&amp;MATCH(SMALL(IF('Monthly view'!$K$3=INT(Table1[Date and time]),Table1[Date and time],""),ROW(A2)),Table1[Date and time],0)+2,SMALL(IF('Monthly view'!$K$3=INT(Table1[Date and time]),Table1[Date and time],""),ROW(A2))),"")</f>
        <v/>
      </c>
      <c r="K7" s="20" t="str">
        <f t="array" ref="K7">IFERROR(INDEX(Table1[Title],SMALL(IF('Monthly view'!$K$3=INT(Table1[Date and time]),MATCH(ROW(Table1[Date and time]),ROW(Table1[Date and time])),""),ROW(A2))),"")</f>
        <v/>
      </c>
    </row>
    <row r="8" spans="2:14" x14ac:dyDescent="0.35">
      <c r="B8" s="36"/>
      <c r="C8" s="36"/>
      <c r="D8" s="36"/>
      <c r="E8" s="36"/>
      <c r="F8" s="36"/>
      <c r="G8" s="36"/>
      <c r="H8" s="36"/>
      <c r="J8" s="22" t="str">
        <f t="array" ref="J8">IFERROR(HYPERLINK("[Calendar-monthly-view3.xlsm]Schedule!$B$"&amp;MATCH(SMALL(IF('Monthly view'!$K$3=INT(Table1[Date and time]),Table1[Date and time],""),ROW(A3)),Table1[Date and time],0)+2,SMALL(IF('Monthly view'!$K$3=INT(Table1[Date and time]),Table1[Date and time],""),ROW(A3))),"")</f>
        <v/>
      </c>
      <c r="K8" s="20" t="str">
        <f t="array" ref="K8">IFERROR(INDEX(Table1[Title],SMALL(IF('Monthly view'!$K$3=INT(Table1[Date and time]),MATCH(ROW(Table1[Date and time]),ROW(Table1[Date and time])),""),ROW(A3))),"")</f>
        <v/>
      </c>
      <c r="M8" s="19"/>
    </row>
    <row r="9" spans="2:14" x14ac:dyDescent="0.35">
      <c r="B9" s="36"/>
      <c r="C9" s="36"/>
      <c r="D9" s="36"/>
      <c r="E9" s="36"/>
      <c r="F9" s="36"/>
      <c r="G9" s="36"/>
      <c r="H9" s="36"/>
      <c r="J9" s="22" t="str">
        <f t="array" ref="J9">IFERROR(HYPERLINK("[Calendar-monthly-view3.xlsm]Schedule!$B$"&amp;MATCH(SMALL(IF('Monthly view'!$K$3=INT(Table1[Date and time]),Table1[Date and time],""),ROW(A4)),Table1[Date and time],0)+2,SMALL(IF('Monthly view'!$K$3=INT(Table1[Date and time]),Table1[Date and time],""),ROW(A4))),"")</f>
        <v/>
      </c>
      <c r="K9" s="20" t="str">
        <f t="array" ref="K9">IFERROR(INDEX(Table1[Title],SMALL(IF('Monthly view'!$K$3=INT(Table1[Date and time]),MATCH(ROW(Table1[Date and time]),ROW(Table1[Date and time])),""),ROW(A4))),"")</f>
        <v/>
      </c>
    </row>
    <row r="10" spans="2:14" x14ac:dyDescent="0.35">
      <c r="B10" s="36"/>
      <c r="C10" s="36"/>
      <c r="D10" s="36"/>
      <c r="E10" s="36"/>
      <c r="F10" s="36"/>
      <c r="G10" s="36"/>
      <c r="H10" s="36"/>
      <c r="J10" s="22" t="str">
        <f t="array" ref="J10">IFERROR(HYPERLINK("[Calendar-monthly-view3.xlsm]Schedule!$B$"&amp;MATCH(SMALL(IF('Monthly view'!$K$3=INT(Table1[Date and time]),Table1[Date and time],""),ROW(A5)),Table1[Date and time],0)+2,SMALL(IF('Monthly view'!$K$3=INT(Table1[Date and time]),Table1[Date and time],""),ROW(A5))),"")</f>
        <v/>
      </c>
      <c r="K10" s="20" t="str">
        <f t="array" ref="K10">IFERROR(INDEX(Table1[Title],SMALL(IF('Monthly view'!$K$3=INT(Table1[Date and time]),MATCH(ROW(Table1[Date and time]),ROW(Table1[Date and time])),""),ROW(A5))),"")</f>
        <v/>
      </c>
    </row>
    <row r="11" spans="2:14" x14ac:dyDescent="0.35">
      <c r="B11" s="36"/>
      <c r="C11" s="36"/>
      <c r="D11" s="36"/>
      <c r="E11" s="36"/>
      <c r="F11" s="36"/>
      <c r="G11" s="36"/>
      <c r="H11" s="36"/>
      <c r="J11" s="22" t="str">
        <f t="array" ref="J11">IFERROR(HYPERLINK("[Calendar-monthly-view3.xlsm]Schedule!$B$"&amp;MATCH(SMALL(IF('Monthly view'!$K$3=INT(Table1[Date and time]),Table1[Date and time],""),ROW(A6)),Table1[Date and time],0)+2,SMALL(IF('Monthly view'!$K$3=INT(Table1[Date and time]),Table1[Date and time],""),ROW(A6))),"")</f>
        <v/>
      </c>
      <c r="K11" s="20" t="str">
        <f t="array" ref="K11">IFERROR(INDEX(Table1[Title],SMALL(IF('Monthly view'!$K$3=INT(Table1[Date and time]),MATCH(ROW(Table1[Date and time]),ROW(Table1[Date and time])),""),ROW(A6))),"")</f>
        <v/>
      </c>
    </row>
    <row r="12" spans="2:14" ht="15" customHeight="1" x14ac:dyDescent="0.35">
      <c r="B12" s="36"/>
      <c r="C12" s="36"/>
      <c r="D12" s="36"/>
      <c r="E12" s="36"/>
      <c r="F12" s="36"/>
      <c r="G12" s="36"/>
      <c r="H12" s="36"/>
      <c r="J12" s="22" t="str">
        <f t="array" ref="J12">IFERROR(HYPERLINK("[Calendar-monthly-view3.xlsm]Schedule!$B$"&amp;MATCH(SMALL(IF('Monthly view'!$K$3=INT(Table1[Date and time]),Table1[Date and time],""),ROW(A7)),Table1[Date and time],0)+2,SMALL(IF('Monthly view'!$K$3=INT(Table1[Date and time]),Table1[Date and time],""),ROW(A7))),"")</f>
        <v/>
      </c>
      <c r="K12" s="20" t="str">
        <f t="array" ref="K12">IFERROR(INDEX(Table1[Title],SMALL(IF('Monthly view'!$K$3=INT(Table1[Date and time]),MATCH(ROW(Table1[Date and time]),ROW(Table1[Date and time])),""),ROW(A7))),"")</f>
        <v/>
      </c>
    </row>
    <row r="13" spans="2:14" ht="15" customHeight="1" x14ac:dyDescent="0.35">
      <c r="B13" s="36"/>
      <c r="C13" s="36"/>
      <c r="D13" s="36"/>
      <c r="E13" s="36"/>
      <c r="F13" s="36"/>
      <c r="G13" s="36"/>
      <c r="H13" s="36"/>
      <c r="J13" s="22" t="str">
        <f t="array" ref="J13">IFERROR(HYPERLINK("[Calendar-monthly-view3.xlsm]Schedule!$B$"&amp;MATCH(SMALL(IF('Monthly view'!$K$3=INT(Table1[Date and time]),Table1[Date and time],""),ROW(A8)),Table1[Date and time],0)+2,SMALL(IF('Monthly view'!$K$3=INT(Table1[Date and time]),Table1[Date and time],""),ROW(A8))),"")</f>
        <v/>
      </c>
      <c r="K13" s="20" t="str">
        <f t="array" ref="K13">IFERROR(INDEX(Table1[Title],SMALL(IF('Monthly view'!$K$3=INT(Table1[Date and time]),MATCH(ROW(Table1[Date and time]),ROW(Table1[Date and time])),""),ROW(A8))),"")</f>
        <v/>
      </c>
    </row>
    <row r="14" spans="2:14" x14ac:dyDescent="0.35">
      <c r="B14" s="36"/>
      <c r="C14" s="36"/>
      <c r="D14" s="36"/>
      <c r="E14" s="36"/>
      <c r="F14" s="36"/>
      <c r="G14" s="36"/>
      <c r="H14" s="36"/>
      <c r="J14" s="22" t="str">
        <f t="array" ref="J14">IFERROR(HYPERLINK("[Calendar-monthly-view3.xlsm]Schedule!$B$"&amp;MATCH(SMALL(IF('Monthly view'!$K$3=INT(Table1[Date and time]),Table1[Date and time],""),ROW(A9)),Table1[Date and time],0)+2,SMALL(IF('Monthly view'!$K$3=INT(Table1[Date and time]),Table1[Date and time],""),ROW(A9))),"")</f>
        <v/>
      </c>
      <c r="K14" s="20" t="str">
        <f t="array" ref="K14">IFERROR(INDEX(Table1[Title],SMALL(IF('Monthly view'!$K$3=INT(Table1[Date and time]),MATCH(ROW(Table1[Date and time]),ROW(Table1[Date and time])),""),ROW(A9))),"")</f>
        <v/>
      </c>
    </row>
    <row r="15" spans="2:14" x14ac:dyDescent="0.35">
      <c r="B15" s="36"/>
      <c r="C15" s="36"/>
      <c r="D15" s="36"/>
      <c r="E15" s="36"/>
      <c r="F15" s="36"/>
      <c r="G15" s="36"/>
      <c r="H15" s="36"/>
      <c r="J15" s="22" t="str">
        <f t="array" ref="J15">IFERROR(HYPERLINK("[Calendar-monthly-view3.xlsm]Schedule!$B$"&amp;MATCH(SMALL(IF('Monthly view'!$K$3=INT(Table1[Date and time]),Table1[Date and time],""),ROW(A10)),Table1[Date and time],0)+2,SMALL(IF('Monthly view'!$K$3=INT(Table1[Date and time]),Table1[Date and time],""),ROW(A10))),"")</f>
        <v/>
      </c>
      <c r="K15" s="20" t="str">
        <f t="array" ref="K15">IFERROR(INDEX(Table1[Title],SMALL(IF('Monthly view'!$K$3=INT(Table1[Date and time]),MATCH(ROW(Table1[Date and time]),ROW(Table1[Date and time])),""),ROW(A10))),"")</f>
        <v/>
      </c>
    </row>
    <row r="16" spans="2:14" x14ac:dyDescent="0.35">
      <c r="B16" s="37"/>
      <c r="C16" s="37"/>
      <c r="D16" s="37"/>
      <c r="E16" s="37"/>
      <c r="F16" s="37"/>
      <c r="G16" s="37"/>
      <c r="H16" s="37"/>
      <c r="J16" s="22" t="str">
        <f t="array" ref="J16">IFERROR(HYPERLINK("[Calendar-monthly-view3.xlsm]Schedule!$B$"&amp;MATCH(SMALL(IF('Monthly view'!$K$3=INT(Table1[Date and time]),Table1[Date and time],""),ROW(A11)),Table1[Date and time],0)+2,SMALL(IF('Monthly view'!$K$3=INT(Table1[Date and time]),Table1[Date and time],""),ROW(A11))),"")</f>
        <v/>
      </c>
      <c r="K16" s="20" t="str">
        <f t="array" ref="K16">IFERROR(INDEX(Table1[Title],SMALL(IF('Monthly view'!$K$3=INT(Table1[Date and time]),MATCH(ROW(Table1[Date and time]),ROW(Table1[Date and time])),""),ROW(A11))),"")</f>
        <v/>
      </c>
    </row>
    <row r="17" spans="2:11" x14ac:dyDescent="0.35">
      <c r="B17" s="15">
        <f>H6+1</f>
        <v>43898</v>
      </c>
      <c r="C17" s="15">
        <f t="shared" ref="C17:H17" si="1">B17+1</f>
        <v>43899</v>
      </c>
      <c r="D17" s="15">
        <f t="shared" si="1"/>
        <v>43900</v>
      </c>
      <c r="E17" s="15">
        <f t="shared" si="1"/>
        <v>43901</v>
      </c>
      <c r="F17" s="15">
        <f t="shared" si="1"/>
        <v>43902</v>
      </c>
      <c r="G17" s="15">
        <f t="shared" si="1"/>
        <v>43903</v>
      </c>
      <c r="H17" s="15">
        <f t="shared" si="1"/>
        <v>43904</v>
      </c>
      <c r="J17" s="22" t="str">
        <f t="array" ref="J17">IFERROR(HYPERLINK("[Calendar-monthly-view3.xlsm]Schedule!$B$"&amp;MATCH(SMALL(IF('Monthly view'!$K$3=INT(Table1[Date and time]),Table1[Date and time],""),ROW(A12)),Table1[Date and time],0)+2,SMALL(IF('Monthly view'!$K$3=INT(Table1[Date and time]),Table1[Date and time],""),ROW(A12))),"")</f>
        <v/>
      </c>
      <c r="K17" s="20" t="str">
        <f t="array" ref="K17">IFERROR(INDEX(Table1[Title],SMALL(IF('Monthly view'!$K$3=INT(Table1[Date and time]),MATCH(ROW(Table1[Date and time]),ROW(Table1[Date and time])),""),ROW(A12))),"")</f>
        <v/>
      </c>
    </row>
    <row r="18" spans="2:11" ht="15" customHeight="1" x14ac:dyDescent="0.35">
      <c r="B18" s="32" t="str">
        <f>Lookup_concat(B17,Table1[Date and time],Table1[Time and Title])</f>
        <v/>
      </c>
      <c r="C18" s="34" t="str">
        <f>Lookup_concat(C17,Table1[Date and time],Table1[Time and Title])</f>
        <v/>
      </c>
      <c r="D18" s="34" t="str">
        <f>Lookup_concat(D17,Table1[Date and time],Table1[Time and Title])</f>
        <v/>
      </c>
      <c r="E18" s="34" t="str">
        <f>Lookup_concat(E17,Table1[Date and time],Table1[Time and Title])</f>
        <v/>
      </c>
      <c r="F18" s="34" t="str">
        <f>Lookup_concat(F17,Table1[Date and time],Table1[Time and Title])</f>
        <v/>
      </c>
      <c r="G18" s="34" t="str">
        <f>Lookup_concat(G17,Table1[Date and time],Table1[Time and Title])</f>
        <v/>
      </c>
      <c r="H18" s="34" t="str">
        <f>Lookup_concat(H17,Table1[Date and time],Table1[Time and Title])</f>
        <v/>
      </c>
      <c r="J18" s="22" t="str">
        <f t="array" ref="J18">IFERROR(HYPERLINK("[Calendar-monthly-view3.xlsm]Schedule!$B$"&amp;MATCH(SMALL(IF('Monthly view'!$K$3=INT(Table1[Date and time]),Table1[Date and time],""),ROW(A13)),Table1[Date and time],0)+2,SMALL(IF('Monthly view'!$K$3=INT(Table1[Date and time]),Table1[Date and time],""),ROW(A13))),"")</f>
        <v/>
      </c>
      <c r="K18" s="20" t="str">
        <f t="array" ref="K18">IFERROR(INDEX(Table1[Title],SMALL(IF('Monthly view'!$K$3=INT(Table1[Date and time]),MATCH(ROW(Table1[Date and time]),ROW(Table1[Date and time])),""),ROW(A13))),"")</f>
        <v/>
      </c>
    </row>
    <row r="19" spans="2:11" ht="15" customHeight="1" x14ac:dyDescent="0.35">
      <c r="B19" s="32"/>
      <c r="C19" s="34"/>
      <c r="D19" s="34"/>
      <c r="E19" s="34"/>
      <c r="F19" s="34"/>
      <c r="G19" s="34"/>
      <c r="H19" s="34"/>
      <c r="J19" s="22" t="str">
        <f t="array" ref="J19">IFERROR(HYPERLINK("[Calendar-monthly-view3.xlsm]Schedule!$B$"&amp;MATCH(SMALL(IF('Monthly view'!$K$3=INT(Table1[Date and time]),Table1[Date and time],""),ROW(A14)),Table1[Date and time],0)+2,SMALL(IF('Monthly view'!$K$3=INT(Table1[Date and time]),Table1[Date and time],""),ROW(A14))),"")</f>
        <v/>
      </c>
      <c r="K19" s="20" t="str">
        <f t="array" ref="K19">IFERROR(INDEX(Table1[Title],SMALL(IF('Monthly view'!$K$3=INT(Table1[Date and time]),MATCH(ROW(Table1[Date and time]),ROW(Table1[Date and time])),""),ROW(A14))),"")</f>
        <v/>
      </c>
    </row>
    <row r="20" spans="2:11" x14ac:dyDescent="0.35">
      <c r="B20" s="32"/>
      <c r="C20" s="34"/>
      <c r="D20" s="34"/>
      <c r="E20" s="34"/>
      <c r="F20" s="34"/>
      <c r="G20" s="34"/>
      <c r="H20" s="34"/>
      <c r="J20" s="22" t="str">
        <f t="array" ref="J20">IFERROR(HYPERLINK("[Calendar-monthly-view3.xlsm]Schedule!$B$"&amp;MATCH(SMALL(IF('Monthly view'!$K$3=INT(Table1[Date and time]),Table1[Date and time],""),ROW(A15)),Table1[Date and time],0)+2,SMALL(IF('Monthly view'!$K$3=INT(Table1[Date and time]),Table1[Date and time],""),ROW(A15))),"")</f>
        <v/>
      </c>
      <c r="K20" s="20" t="str">
        <f t="array" ref="K20">IFERROR(INDEX(Table1[Title],SMALL(IF('Monthly view'!$K$3=INT(Table1[Date and time]),MATCH(ROW(Table1[Date and time]),ROW(Table1[Date and time])),""),ROW(A15))),"")</f>
        <v/>
      </c>
    </row>
    <row r="21" spans="2:11" x14ac:dyDescent="0.35">
      <c r="B21" s="32"/>
      <c r="C21" s="34"/>
      <c r="D21" s="34"/>
      <c r="E21" s="34"/>
      <c r="F21" s="34"/>
      <c r="G21" s="34"/>
      <c r="H21" s="34"/>
      <c r="J21" s="22" t="str">
        <f t="array" ref="J21">IFERROR(HYPERLINK("[Calendar-monthly-view3.xlsm]Schedule!$B$"&amp;MATCH(SMALL(IF('Monthly view'!$K$3=INT(Table1[Date and time]),Table1[Date and time],""),ROW(A16)),Table1[Date and time],0)+2,SMALL(IF('Monthly view'!$K$3=INT(Table1[Date and time]),Table1[Date and time],""),ROW(A16))),"")</f>
        <v/>
      </c>
      <c r="K21" s="20" t="str">
        <f t="array" ref="K21">IFERROR(INDEX(Table1[Title],SMALL(IF('Monthly view'!$K$3=INT(Table1[Date and time]),MATCH(ROW(Table1[Date and time]),ROW(Table1[Date and time])),""),ROW(A16))),"")</f>
        <v/>
      </c>
    </row>
    <row r="22" spans="2:11" x14ac:dyDescent="0.35">
      <c r="B22" s="32"/>
      <c r="C22" s="34"/>
      <c r="D22" s="34"/>
      <c r="E22" s="34"/>
      <c r="F22" s="34"/>
      <c r="G22" s="34"/>
      <c r="H22" s="34"/>
      <c r="J22" s="22" t="str">
        <f t="array" ref="J22">IFERROR(HYPERLINK("[Calendar-monthly-view3.xlsm]Schedule!$B$"&amp;MATCH(SMALL(IF('Monthly view'!$K$3=INT(Table1[Date and time]),Table1[Date and time],""),ROW(A17)),Table1[Date and time],0)+2,SMALL(IF('Monthly view'!$K$3=INT(Table1[Date and time]),Table1[Date and time],""),ROW(A17))),"")</f>
        <v/>
      </c>
      <c r="K22" s="20" t="str">
        <f t="array" ref="K22">IFERROR(INDEX(Table1[Title],SMALL(IF('Monthly view'!$K$3=INT(Table1[Date and time]),MATCH(ROW(Table1[Date and time]),ROW(Table1[Date and time])),""),ROW(A17))),"")</f>
        <v/>
      </c>
    </row>
    <row r="23" spans="2:11" ht="15" customHeight="1" x14ac:dyDescent="0.35">
      <c r="B23" s="32"/>
      <c r="C23" s="34"/>
      <c r="D23" s="34"/>
      <c r="E23" s="34"/>
      <c r="F23" s="34"/>
      <c r="G23" s="34"/>
      <c r="H23" s="34"/>
      <c r="J23" s="22" t="str">
        <f t="array" ref="J23">IFERROR(HYPERLINK("[Calendar-monthly-view3.xlsm]Schedule!$B$"&amp;MATCH(SMALL(IF('Monthly view'!$K$3=INT(Table1[Date and time]),Table1[Date and time],""),ROW(A18)),Table1[Date and time],0)+2,SMALL(IF('Monthly view'!$K$3=INT(Table1[Date and time]),Table1[Date and time],""),ROW(A18))),"")</f>
        <v/>
      </c>
      <c r="K23" s="20" t="str">
        <f t="array" ref="K23">IFERROR(INDEX(Table1[Title],SMALL(IF('Monthly view'!$K$3=INT(Table1[Date and time]),MATCH(ROW(Table1[Date and time]),ROW(Table1[Date and time])),""),ROW(A18))),"")</f>
        <v/>
      </c>
    </row>
    <row r="24" spans="2:11" x14ac:dyDescent="0.35">
      <c r="B24" s="32"/>
      <c r="C24" s="34"/>
      <c r="D24" s="34"/>
      <c r="E24" s="34"/>
      <c r="F24" s="34"/>
      <c r="G24" s="34"/>
      <c r="H24" s="34"/>
      <c r="I24" s="17"/>
      <c r="J24" s="22" t="str">
        <f t="array" ref="J24">IFERROR(HYPERLINK("[Calendar-monthly-view3.xlsm]Schedule!$B$"&amp;MATCH(SMALL(IF('Monthly view'!$K$3=INT(Table1[Date and time]),Table1[Date and time],""),ROW(A19)),Table1[Date and time],0)+2,SMALL(IF('Monthly view'!$K$3=INT(Table1[Date and time]),Table1[Date and time],""),ROW(A19))),"")</f>
        <v/>
      </c>
      <c r="K24" s="20" t="str">
        <f t="array" ref="K24">IFERROR(INDEX(Table1[Title],SMALL(IF('Monthly view'!$K$3=INT(Table1[Date and time]),MATCH(ROW(Table1[Date and time]),ROW(Table1[Date and time])),""),ROW(A19))),"")</f>
        <v/>
      </c>
    </row>
    <row r="25" spans="2:11" ht="15" customHeight="1" x14ac:dyDescent="0.35">
      <c r="B25" s="32"/>
      <c r="C25" s="34"/>
      <c r="D25" s="34"/>
      <c r="E25" s="34"/>
      <c r="F25" s="34"/>
      <c r="G25" s="34"/>
      <c r="H25" s="34"/>
      <c r="I25" s="17"/>
      <c r="J25" s="22" t="str">
        <f t="array" ref="J25">IFERROR(HYPERLINK("[Calendar-monthly-view3.xlsm]Schedule!$B$"&amp;MATCH(SMALL(IF('Monthly view'!$K$3=INT(Table1[Date and time]),Table1[Date and time],""),ROW(A20)),Table1[Date and time],0)+2,SMALL(IF('Monthly view'!$K$3=INT(Table1[Date and time]),Table1[Date and time],""),ROW(A20))),"")</f>
        <v/>
      </c>
      <c r="K25" s="20" t="str">
        <f t="array" ref="K25">IFERROR(INDEX(Table1[Title],SMALL(IF('Monthly view'!$K$3=INT(Table1[Date and time]),MATCH(ROW(Table1[Date and time]),ROW(Table1[Date and time])),""),ROW(A20))),"")</f>
        <v/>
      </c>
    </row>
    <row r="26" spans="2:11" x14ac:dyDescent="0.35">
      <c r="B26" s="32"/>
      <c r="C26" s="34"/>
      <c r="D26" s="34"/>
      <c r="E26" s="34"/>
      <c r="F26" s="34"/>
      <c r="G26" s="34"/>
      <c r="H26" s="34"/>
      <c r="I26" s="17"/>
      <c r="J26" s="22" t="str">
        <f t="array" ref="J26">IFERROR(HYPERLINK("[Calendar-monthly-view3.xlsm]Schedule!$B$"&amp;MATCH(SMALL(IF('Monthly view'!$K$3=INT(Table1[Date and time]),Table1[Date and time],""),ROW(A21)),Table1[Date and time],0)+2,SMALL(IF('Monthly view'!$K$3=INT(Table1[Date and time]),Table1[Date and time],""),ROW(A21))),"")</f>
        <v/>
      </c>
      <c r="K26" s="20" t="str">
        <f t="array" ref="K26">IFERROR(INDEX(Table1[Title],SMALL(IF('Monthly view'!$K$3=INT(Table1[Date and time]),MATCH(ROW(Table1[Date and time]),ROW(Table1[Date and time])),""),ROW(A21))),"")</f>
        <v/>
      </c>
    </row>
    <row r="27" spans="2:11" x14ac:dyDescent="0.35">
      <c r="B27" s="33"/>
      <c r="C27" s="35"/>
      <c r="D27" s="35"/>
      <c r="E27" s="35"/>
      <c r="F27" s="35"/>
      <c r="G27" s="35"/>
      <c r="H27" s="35"/>
      <c r="I27" s="17"/>
      <c r="J27" s="22" t="str">
        <f t="array" ref="J27">IFERROR(HYPERLINK("[Calendar-monthly-view3.xlsm]Schedule!$B$"&amp;MATCH(SMALL(IF('Monthly view'!$K$3=INT(Table1[Date and time]),Table1[Date and time],""),ROW(A22)),Table1[Date and time],0)+2,SMALL(IF('Monthly view'!$K$3=INT(Table1[Date and time]),Table1[Date and time],""),ROW(A22))),"")</f>
        <v/>
      </c>
      <c r="K27" s="20" t="str">
        <f t="array" ref="K27">IFERROR(INDEX(Table1[Title],SMALL(IF('Monthly view'!$K$3=INT(Table1[Date and time]),MATCH(ROW(Table1[Date and time]),ROW(Table1[Date and time])),""),ROW(A22))),"")</f>
        <v/>
      </c>
    </row>
    <row r="28" spans="2:11" x14ac:dyDescent="0.35">
      <c r="B28" s="15">
        <f>H17+1</f>
        <v>43905</v>
      </c>
      <c r="C28" s="15">
        <f t="shared" ref="C28:H28" si="2">B28+1</f>
        <v>43906</v>
      </c>
      <c r="D28" s="15">
        <f t="shared" si="2"/>
        <v>43907</v>
      </c>
      <c r="E28" s="15">
        <f t="shared" si="2"/>
        <v>43908</v>
      </c>
      <c r="F28" s="15">
        <f t="shared" si="2"/>
        <v>43909</v>
      </c>
      <c r="G28" s="15">
        <f t="shared" si="2"/>
        <v>43910</v>
      </c>
      <c r="H28" s="15">
        <f t="shared" si="2"/>
        <v>43911</v>
      </c>
      <c r="I28" s="17"/>
      <c r="J28" s="22" t="str">
        <f t="array" ref="J28">IFERROR(HYPERLINK("[Calendar-monthly-view3.xlsm]Schedule!$B$"&amp;MATCH(SMALL(IF('Monthly view'!$K$3=INT(Table1[Date and time]),Table1[Date and time],""),ROW(A23)),Table1[Date and time],0)+2,SMALL(IF('Monthly view'!$K$3=INT(Table1[Date and time]),Table1[Date and time],""),ROW(A23))),"")</f>
        <v/>
      </c>
      <c r="K28" s="20" t="str">
        <f t="array" ref="K28">IFERROR(INDEX(Table1[Title],SMALL(IF('Monthly view'!$K$3=INT(Table1[Date and time]),MATCH(ROW(Table1[Date and time]),ROW(Table1[Date and time])),""),ROW(A23))),"")</f>
        <v/>
      </c>
    </row>
    <row r="29" spans="2:11" x14ac:dyDescent="0.35">
      <c r="B29" s="34" t="str">
        <f>Lookup_concat(B28,Table1[Date and time],Table1[Time and Title])</f>
        <v/>
      </c>
      <c r="C29" s="34" t="str">
        <f>Lookup_concat(C28,Table1[Date and time],Table1[Time and Title])</f>
        <v/>
      </c>
      <c r="D29" s="34" t="str">
        <f>Lookup_concat(D28,Table1[Date and time],Table1[Time and Title])</f>
        <v/>
      </c>
      <c r="E29" s="34" t="str">
        <f>Lookup_concat(E28,Table1[Date and time],Table1[Time and Title])</f>
        <v/>
      </c>
      <c r="F29" s="34" t="str">
        <f>Lookup_concat(F28,Table1[Date and time],Table1[Time and Title])</f>
        <v/>
      </c>
      <c r="G29" s="34" t="str">
        <f>Lookup_concat(G28,Table1[Date and time],Table1[Time and Title])</f>
        <v/>
      </c>
      <c r="H29" s="34" t="str">
        <f>Lookup_concat(H28,Table1[Date and time],Table1[Time and Title])</f>
        <v/>
      </c>
      <c r="I29" s="17"/>
      <c r="J29" s="22" t="str">
        <f t="array" ref="J29">IFERROR(HYPERLINK("[Calendar-monthly-view3.xlsm]Schedule!$B$"&amp;MATCH(SMALL(IF('Monthly view'!$K$3=INT(Table1[Date and time]),Table1[Date and time],""),ROW(A24)),Table1[Date and time],0)+2,SMALL(IF('Monthly view'!$K$3=INT(Table1[Date and time]),Table1[Date and time],""),ROW(A24))),"")</f>
        <v/>
      </c>
      <c r="K29" s="20" t="str">
        <f t="array" ref="K29">IFERROR(INDEX(Table1[Title],SMALL(IF('Monthly view'!$K$3=INT(Table1[Date and time]),MATCH(ROW(Table1[Date and time]),ROW(Table1[Date and time])),""),ROW(A24))),"")</f>
        <v/>
      </c>
    </row>
    <row r="30" spans="2:11" x14ac:dyDescent="0.35">
      <c r="B30" s="34"/>
      <c r="C30" s="34"/>
      <c r="D30" s="34"/>
      <c r="E30" s="34"/>
      <c r="F30" s="34"/>
      <c r="G30" s="34"/>
      <c r="H30" s="34"/>
      <c r="I30" s="17"/>
      <c r="J30" s="22" t="str">
        <f t="array" ref="J30">IFERROR(HYPERLINK("[Calendar-monthly-view3.xlsm]Schedule!$B$"&amp;MATCH(SMALL(IF('Monthly view'!$K$3=INT(Table1[Date and time]),Table1[Date and time],""),ROW(A25)),Table1[Date and time],0)+2,SMALL(IF('Monthly view'!$K$3=INT(Table1[Date and time]),Table1[Date and time],""),ROW(A25))),"")</f>
        <v/>
      </c>
      <c r="K30" s="20" t="str">
        <f t="array" ref="K30">IFERROR(INDEX(Table1[Title],SMALL(IF('Monthly view'!$K$3=INT(Table1[Date and time]),MATCH(ROW(Table1[Date and time]),ROW(Table1[Date and time])),""),ROW(A25))),"")</f>
        <v/>
      </c>
    </row>
    <row r="31" spans="2:11" ht="15" customHeight="1" x14ac:dyDescent="0.35">
      <c r="B31" s="34"/>
      <c r="C31" s="34"/>
      <c r="D31" s="34"/>
      <c r="E31" s="34"/>
      <c r="F31" s="34"/>
      <c r="G31" s="34"/>
      <c r="H31" s="34"/>
      <c r="J31" s="22" t="str">
        <f t="array" ref="J31">IFERROR(HYPERLINK("[Calendar-monthly-view3.xlsm]Schedule!$B$"&amp;MATCH(SMALL(IF('Monthly view'!$K$3=INT(Table1[Date and time]),Table1[Date and time],""),ROW(A26)),Table1[Date and time],0)+2,SMALL(IF('Monthly view'!$K$3=INT(Table1[Date and time]),Table1[Date and time],""),ROW(A26))),"")</f>
        <v/>
      </c>
      <c r="K31" s="20" t="str">
        <f t="array" ref="K31">IFERROR(INDEX(Table1[Title],SMALL(IF('Monthly view'!$K$3=INT(Table1[Date and time]),MATCH(ROW(Table1[Date and time]),ROW(Table1[Date and time])),""),ROW(A26))),"")</f>
        <v/>
      </c>
    </row>
    <row r="32" spans="2:11" x14ac:dyDescent="0.35">
      <c r="B32" s="34"/>
      <c r="C32" s="34"/>
      <c r="D32" s="34"/>
      <c r="E32" s="34"/>
      <c r="F32" s="34"/>
      <c r="G32" s="34"/>
      <c r="H32" s="34"/>
      <c r="J32" s="22" t="str">
        <f t="array" ref="J32">IFERROR(HYPERLINK("[Calendar-monthly-view3.xlsm]Schedule!$B$"&amp;MATCH(SMALL(IF('Monthly view'!$K$3=INT(Table1[Date and time]),Table1[Date and time],""),ROW(A27)),Table1[Date and time],0)+2,SMALL(IF('Monthly view'!$K$3=INT(Table1[Date and time]),Table1[Date and time],""),ROW(A27))),"")</f>
        <v/>
      </c>
      <c r="K32" s="20" t="str">
        <f t="array" ref="K32">IFERROR(INDEX(Table1[Title],SMALL(IF('Monthly view'!$K$3=INT(Table1[Date and time]),MATCH(ROW(Table1[Date and time]),ROW(Table1[Date and time])),""),ROW(A27))),"")</f>
        <v/>
      </c>
    </row>
    <row r="33" spans="2:11" x14ac:dyDescent="0.35">
      <c r="B33" s="34"/>
      <c r="C33" s="34"/>
      <c r="D33" s="34"/>
      <c r="E33" s="34"/>
      <c r="F33" s="34"/>
      <c r="G33" s="34"/>
      <c r="H33" s="34"/>
      <c r="J33" s="22" t="str">
        <f t="array" ref="J33">IFERROR(HYPERLINK("[Calendar-monthly-view3.xlsm]Schedule!$B$"&amp;MATCH(SMALL(IF('Monthly view'!$K$3=INT(Table1[Date and time]),Table1[Date and time],""),ROW(A28)),Table1[Date and time],0)+2,SMALL(IF('Monthly view'!$K$3=INT(Table1[Date and time]),Table1[Date and time],""),ROW(A28))),"")</f>
        <v/>
      </c>
      <c r="K33" s="20" t="str">
        <f t="array" ref="K33">IFERROR(INDEX(Table1[Title],SMALL(IF('Monthly view'!$K$3=INT(Table1[Date and time]),MATCH(ROW(Table1[Date and time]),ROW(Table1[Date and time])),""),ROW(A28))),"")</f>
        <v/>
      </c>
    </row>
    <row r="34" spans="2:11" ht="15" customHeight="1" x14ac:dyDescent="0.35">
      <c r="B34" s="34"/>
      <c r="C34" s="34"/>
      <c r="D34" s="34"/>
      <c r="E34" s="34"/>
      <c r="F34" s="34"/>
      <c r="G34" s="34"/>
      <c r="H34" s="34"/>
      <c r="J34" s="22" t="str">
        <f t="array" ref="J34">IFERROR(HYPERLINK("[Calendar-monthly-view3.xlsm]Schedule!$B$"&amp;MATCH(SMALL(IF('Monthly view'!$K$3=INT(Table1[Date and time]),Table1[Date and time],""),ROW(A29)),Table1[Date and time],0)+2,SMALL(IF('Monthly view'!$K$3=INT(Table1[Date and time]),Table1[Date and time],""),ROW(A29))),"")</f>
        <v/>
      </c>
      <c r="K34" s="20" t="str">
        <f t="array" ref="K34">IFERROR(INDEX(Table1[Title],SMALL(IF('Monthly view'!$K$3=INT(Table1[Date and time]),MATCH(ROW(Table1[Date and time]),ROW(Table1[Date and time])),""),ROW(A29))),"")</f>
        <v/>
      </c>
    </row>
    <row r="35" spans="2:11" x14ac:dyDescent="0.35">
      <c r="B35" s="34"/>
      <c r="C35" s="34"/>
      <c r="D35" s="34"/>
      <c r="E35" s="34"/>
      <c r="F35" s="34"/>
      <c r="G35" s="34"/>
      <c r="H35" s="34"/>
      <c r="J35" s="22" t="str">
        <f t="array" ref="J35">IFERROR(HYPERLINK("[Calendar-monthly-view3.xlsm]Schedule!$B$"&amp;MATCH(SMALL(IF('Monthly view'!$K$3=INT(Table1[Date and time]),Table1[Date and time],""),ROW(A30)),Table1[Date and time],0)+2,SMALL(IF('Monthly view'!$K$3=INT(Table1[Date and time]),Table1[Date and time],""),ROW(A30))),"")</f>
        <v/>
      </c>
      <c r="K35" s="20" t="str">
        <f t="array" ref="K35">IFERROR(INDEX(Table1[Title],SMALL(IF('Monthly view'!$K$3=INT(Table1[Date and time]),MATCH(ROW(Table1[Date and time]),ROW(Table1[Date and time])),""),ROW(A30))),"")</f>
        <v/>
      </c>
    </row>
    <row r="36" spans="2:11" x14ac:dyDescent="0.35">
      <c r="B36" s="34"/>
      <c r="C36" s="34"/>
      <c r="D36" s="34"/>
      <c r="E36" s="34"/>
      <c r="F36" s="34"/>
      <c r="G36" s="34"/>
      <c r="H36" s="34"/>
      <c r="J36" s="22" t="str">
        <f t="array" ref="J36">IFERROR(HYPERLINK("[Calendar-monthly-view3.xlsm]Schedule!$B$"&amp;MATCH(SMALL(IF('Monthly view'!$K$3=INT(Table1[Date and time]),Table1[Date and time],""),ROW(A31)),Table1[Date and time],0)+2,SMALL(IF('Monthly view'!$K$3=INT(Table1[Date and time]),Table1[Date and time],""),ROW(A31))),"")</f>
        <v/>
      </c>
      <c r="K36" s="20" t="str">
        <f t="array" ref="K36">IFERROR(INDEX(Table1[Title],SMALL(IF('Monthly view'!$K$3=INT(Table1[Date and time]),MATCH(ROW(Table1[Date and time]),ROW(Table1[Date and time])),""),ROW(A31))),"")</f>
        <v/>
      </c>
    </row>
    <row r="37" spans="2:11" x14ac:dyDescent="0.35">
      <c r="B37" s="34"/>
      <c r="C37" s="34"/>
      <c r="D37" s="34"/>
      <c r="E37" s="34"/>
      <c r="F37" s="34"/>
      <c r="G37" s="34"/>
      <c r="H37" s="34"/>
      <c r="J37" s="22" t="str">
        <f t="array" ref="J37">IFERROR(HYPERLINK("[Calendar-monthly-view3.xlsm]Schedule!$B$"&amp;MATCH(SMALL(IF('Monthly view'!$K$3=INT(Table1[Date and time]),Table1[Date and time],""),ROW(A32)),Table1[Date and time],0)+2,SMALL(IF('Monthly view'!$K$3=INT(Table1[Date and time]),Table1[Date and time],""),ROW(A32))),"")</f>
        <v/>
      </c>
      <c r="K37" s="20" t="str">
        <f t="array" ref="K37">IFERROR(INDEX(Table1[Title],SMALL(IF('Monthly view'!$K$3=INT(Table1[Date and time]),MATCH(ROW(Table1[Date and time]),ROW(Table1[Date and time])),""),ROW(A32))),"")</f>
        <v/>
      </c>
    </row>
    <row r="38" spans="2:11" x14ac:dyDescent="0.35">
      <c r="B38" s="35"/>
      <c r="C38" s="35"/>
      <c r="D38" s="35"/>
      <c r="E38" s="35"/>
      <c r="F38" s="35"/>
      <c r="G38" s="35"/>
      <c r="H38" s="35"/>
      <c r="J38" s="22" t="str">
        <f t="array" ref="J38">IFERROR(HYPERLINK("[Calendar-monthly-view3.xlsm]Schedule!$B$"&amp;MATCH(SMALL(IF('Monthly view'!$K$3=INT(Table1[Date and time]),Table1[Date and time],""),ROW(A33)),Table1[Date and time],0)+2,SMALL(IF('Monthly view'!$K$3=INT(Table1[Date and time]),Table1[Date and time],""),ROW(A33))),"")</f>
        <v/>
      </c>
      <c r="K38" s="20" t="str">
        <f t="array" ref="K38">IFERROR(INDEX(Table1[Title],SMALL(IF('Monthly view'!$K$3=INT(Table1[Date and time]),MATCH(ROW(Table1[Date and time]),ROW(Table1[Date and time])),""),ROW(A33))),"")</f>
        <v/>
      </c>
    </row>
    <row r="39" spans="2:11" x14ac:dyDescent="0.35">
      <c r="B39" s="15">
        <f>H28+1</f>
        <v>43912</v>
      </c>
      <c r="C39" s="15">
        <f t="shared" ref="C39:H39" si="3">B39+1</f>
        <v>43913</v>
      </c>
      <c r="D39" s="15">
        <f t="shared" si="3"/>
        <v>43914</v>
      </c>
      <c r="E39" s="15">
        <f t="shared" si="3"/>
        <v>43915</v>
      </c>
      <c r="F39" s="15">
        <f t="shared" si="3"/>
        <v>43916</v>
      </c>
      <c r="G39" s="15">
        <f t="shared" si="3"/>
        <v>43917</v>
      </c>
      <c r="H39" s="15">
        <f t="shared" si="3"/>
        <v>43918</v>
      </c>
      <c r="J39" s="22" t="str">
        <f t="array" ref="J39">IFERROR(HYPERLINK("[Calendar-monthly-view3.xlsm]Schedule!$B$"&amp;MATCH(SMALL(IF('Monthly view'!$K$3=INT(Table1[Date and time]),Table1[Date and time],""),ROW(A34)),Table1[Date and time],0)+2,SMALL(IF('Monthly view'!$K$3=INT(Table1[Date and time]),Table1[Date and time],""),ROW(A34))),"")</f>
        <v/>
      </c>
      <c r="K39" s="20" t="str">
        <f t="array" ref="K39">IFERROR(INDEX(Table1[Title],SMALL(IF('Monthly view'!$K$3=INT(Table1[Date and time]),MATCH(ROW(Table1[Date and time]),ROW(Table1[Date and time])),""),ROW(A34))),"")</f>
        <v/>
      </c>
    </row>
    <row r="40" spans="2:11" x14ac:dyDescent="0.35">
      <c r="B40" s="34" t="str">
        <f>Lookup_concat(B39,Table1[Date and time],Table1[Time and Title])</f>
        <v/>
      </c>
      <c r="C40" s="34" t="str">
        <f>Lookup_concat(C39,Table1[Date and time],Table1[Time and Title])</f>
        <v/>
      </c>
      <c r="D40" s="34" t="str">
        <f>Lookup_concat(D39,Table1[Date and time],Table1[Time and Title])</f>
        <v/>
      </c>
      <c r="E40" s="34" t="str">
        <f>Lookup_concat(E39,Table1[Date and time],Table1[Time and Title])</f>
        <v/>
      </c>
      <c r="F40" s="34" t="str">
        <f>Lookup_concat(F39,Table1[Date and time],Table1[Time and Title])</f>
        <v/>
      </c>
      <c r="G40" s="34" t="str">
        <f>Lookup_concat(G39,Table1[Date and time],Table1[Time and Title])</f>
        <v/>
      </c>
      <c r="H40" s="34" t="str">
        <f>Lookup_concat(H39,Table1[Date and time],Table1[Time and Title])</f>
        <v/>
      </c>
    </row>
    <row r="41" spans="2:11" x14ac:dyDescent="0.35">
      <c r="B41" s="34"/>
      <c r="C41" s="34"/>
      <c r="D41" s="34"/>
      <c r="E41" s="34"/>
      <c r="F41" s="34"/>
      <c r="G41" s="34"/>
      <c r="H41" s="34"/>
    </row>
    <row r="42" spans="2:11" x14ac:dyDescent="0.35">
      <c r="B42" s="34"/>
      <c r="C42" s="34"/>
      <c r="D42" s="34"/>
      <c r="E42" s="34"/>
      <c r="F42" s="34"/>
      <c r="G42" s="34"/>
      <c r="H42" s="34"/>
    </row>
    <row r="43" spans="2:11" x14ac:dyDescent="0.35">
      <c r="B43" s="34"/>
      <c r="C43" s="34"/>
      <c r="D43" s="34"/>
      <c r="E43" s="34"/>
      <c r="F43" s="34"/>
      <c r="G43" s="34"/>
      <c r="H43" s="34"/>
    </row>
    <row r="44" spans="2:11" x14ac:dyDescent="0.35">
      <c r="B44" s="34"/>
      <c r="C44" s="34"/>
      <c r="D44" s="34"/>
      <c r="E44" s="34"/>
      <c r="F44" s="34"/>
      <c r="G44" s="34"/>
      <c r="H44" s="34"/>
    </row>
    <row r="45" spans="2:11" ht="15" customHeight="1" x14ac:dyDescent="0.35">
      <c r="B45" s="34"/>
      <c r="C45" s="34"/>
      <c r="D45" s="34"/>
      <c r="E45" s="34"/>
      <c r="F45" s="34"/>
      <c r="G45" s="34"/>
      <c r="H45" s="34"/>
    </row>
    <row r="46" spans="2:11" x14ac:dyDescent="0.35">
      <c r="B46" s="34"/>
      <c r="C46" s="34"/>
      <c r="D46" s="34"/>
      <c r="E46" s="34"/>
      <c r="F46" s="34"/>
      <c r="G46" s="34"/>
      <c r="H46" s="34"/>
    </row>
    <row r="47" spans="2:11" x14ac:dyDescent="0.35">
      <c r="B47" s="34"/>
      <c r="C47" s="34"/>
      <c r="D47" s="34"/>
      <c r="E47" s="34"/>
      <c r="F47" s="34"/>
      <c r="G47" s="34"/>
      <c r="H47" s="34"/>
    </row>
    <row r="48" spans="2:11" x14ac:dyDescent="0.35">
      <c r="B48" s="34"/>
      <c r="C48" s="34"/>
      <c r="D48" s="34"/>
      <c r="E48" s="34"/>
      <c r="F48" s="34"/>
      <c r="G48" s="34"/>
      <c r="H48" s="34"/>
    </row>
    <row r="49" spans="2:8" x14ac:dyDescent="0.35">
      <c r="B49" s="35"/>
      <c r="C49" s="35"/>
      <c r="D49" s="35"/>
      <c r="E49" s="35"/>
      <c r="F49" s="35"/>
      <c r="G49" s="35"/>
      <c r="H49" s="35"/>
    </row>
    <row r="50" spans="2:8" x14ac:dyDescent="0.35">
      <c r="B50" s="15">
        <f>H39+1</f>
        <v>43919</v>
      </c>
      <c r="C50" s="15">
        <f t="shared" ref="C50:H50" si="4">B50+1</f>
        <v>43920</v>
      </c>
      <c r="D50" s="15">
        <f t="shared" si="4"/>
        <v>43921</v>
      </c>
      <c r="E50" s="15">
        <f t="shared" si="4"/>
        <v>43922</v>
      </c>
      <c r="F50" s="15">
        <f t="shared" si="4"/>
        <v>43923</v>
      </c>
      <c r="G50" s="15">
        <f t="shared" si="4"/>
        <v>43924</v>
      </c>
      <c r="H50" s="15">
        <f t="shared" si="4"/>
        <v>43925</v>
      </c>
    </row>
    <row r="51" spans="2:8" x14ac:dyDescent="0.35">
      <c r="B51" s="34" t="str">
        <f>Lookup_concat(B50,Table1[Date and time],Table1[Time and Title])</f>
        <v/>
      </c>
      <c r="C51" s="34" t="str">
        <f>Lookup_concat(C50,Table1[Date and time],Table1[Time and Title])</f>
        <v/>
      </c>
      <c r="D51" s="34" t="str">
        <f>Lookup_concat(D50,Table1[Date and time],Table1[Time and Title])</f>
        <v/>
      </c>
      <c r="E51" s="34" t="str">
        <f>Lookup_concat(E50,Table1[Date and time],Table1[Time and Title])</f>
        <v/>
      </c>
      <c r="F51" s="34" t="str">
        <f>Lookup_concat(F50,Table1[Date and time],Table1[Time and Title])</f>
        <v/>
      </c>
      <c r="G51" s="34" t="str">
        <f>Lookup_concat(G50,Table1[Date and time],Table1[Time and Title])</f>
        <v/>
      </c>
      <c r="H51" s="34" t="str">
        <f>Lookup_concat(H50,Table1[Date and time],Table1[Time and Title])</f>
        <v/>
      </c>
    </row>
    <row r="52" spans="2:8" x14ac:dyDescent="0.35">
      <c r="B52" s="34"/>
      <c r="C52" s="34"/>
      <c r="D52" s="34"/>
      <c r="E52" s="34"/>
      <c r="F52" s="34"/>
      <c r="G52" s="34"/>
      <c r="H52" s="34"/>
    </row>
    <row r="53" spans="2:8" x14ac:dyDescent="0.35">
      <c r="B53" s="34"/>
      <c r="C53" s="34"/>
      <c r="D53" s="34"/>
      <c r="E53" s="34"/>
      <c r="F53" s="34"/>
      <c r="G53" s="34"/>
      <c r="H53" s="34"/>
    </row>
    <row r="54" spans="2:8" x14ac:dyDescent="0.35">
      <c r="B54" s="34"/>
      <c r="C54" s="34"/>
      <c r="D54" s="34"/>
      <c r="E54" s="34"/>
      <c r="F54" s="34"/>
      <c r="G54" s="34"/>
      <c r="H54" s="34"/>
    </row>
    <row r="55" spans="2:8" x14ac:dyDescent="0.35">
      <c r="B55" s="34"/>
      <c r="C55" s="34"/>
      <c r="D55" s="34"/>
      <c r="E55" s="34"/>
      <c r="F55" s="34"/>
      <c r="G55" s="34"/>
      <c r="H55" s="34"/>
    </row>
    <row r="56" spans="2:8" ht="15" customHeight="1" x14ac:dyDescent="0.35">
      <c r="B56" s="34"/>
      <c r="C56" s="34"/>
      <c r="D56" s="34"/>
      <c r="E56" s="34"/>
      <c r="F56" s="34"/>
      <c r="G56" s="34"/>
      <c r="H56" s="34"/>
    </row>
    <row r="57" spans="2:8" x14ac:dyDescent="0.35">
      <c r="B57" s="34"/>
      <c r="C57" s="34"/>
      <c r="D57" s="34"/>
      <c r="E57" s="34"/>
      <c r="F57" s="34"/>
      <c r="G57" s="34"/>
      <c r="H57" s="34"/>
    </row>
    <row r="58" spans="2:8" x14ac:dyDescent="0.35">
      <c r="B58" s="34"/>
      <c r="C58" s="34"/>
      <c r="D58" s="34"/>
      <c r="E58" s="34"/>
      <c r="F58" s="34"/>
      <c r="G58" s="34"/>
      <c r="H58" s="34"/>
    </row>
    <row r="59" spans="2:8" x14ac:dyDescent="0.35">
      <c r="B59" s="34"/>
      <c r="C59" s="34"/>
      <c r="D59" s="34"/>
      <c r="E59" s="34"/>
      <c r="F59" s="34"/>
      <c r="G59" s="34"/>
      <c r="H59" s="34"/>
    </row>
    <row r="60" spans="2:8" x14ac:dyDescent="0.35">
      <c r="B60" s="35"/>
      <c r="C60" s="35"/>
      <c r="D60" s="35"/>
      <c r="E60" s="35"/>
      <c r="F60" s="35"/>
      <c r="G60" s="35"/>
      <c r="H60" s="35"/>
    </row>
    <row r="61" spans="2:8" x14ac:dyDescent="0.35">
      <c r="B61" s="15">
        <f>H50+1</f>
        <v>43926</v>
      </c>
      <c r="C61" s="15">
        <f t="shared" ref="C61:H61" si="5">B61+1</f>
        <v>43927</v>
      </c>
      <c r="D61" s="15">
        <f t="shared" si="5"/>
        <v>43928</v>
      </c>
      <c r="E61" s="15">
        <f t="shared" si="5"/>
        <v>43929</v>
      </c>
      <c r="F61" s="15">
        <f t="shared" si="5"/>
        <v>43930</v>
      </c>
      <c r="G61" s="15">
        <f t="shared" si="5"/>
        <v>43931</v>
      </c>
      <c r="H61" s="15">
        <f t="shared" si="5"/>
        <v>43932</v>
      </c>
    </row>
    <row r="62" spans="2:8" x14ac:dyDescent="0.35">
      <c r="B62" s="30"/>
      <c r="C62" s="30"/>
      <c r="D62" s="30"/>
      <c r="E62" s="30"/>
      <c r="F62" s="30"/>
      <c r="G62" s="30"/>
      <c r="H62" s="30"/>
    </row>
    <row r="63" spans="2:8" x14ac:dyDescent="0.35">
      <c r="B63" s="30"/>
      <c r="C63" s="30"/>
      <c r="D63" s="30"/>
      <c r="E63" s="30"/>
      <c r="F63" s="30"/>
      <c r="G63" s="30"/>
      <c r="H63" s="30"/>
    </row>
    <row r="64" spans="2:8" x14ac:dyDescent="0.35">
      <c r="B64" s="30"/>
      <c r="C64" s="30"/>
      <c r="D64" s="30"/>
      <c r="E64" s="30"/>
      <c r="F64" s="30"/>
      <c r="G64" s="30"/>
      <c r="H64" s="30"/>
    </row>
    <row r="65" spans="2:8" x14ac:dyDescent="0.35">
      <c r="B65" s="30"/>
      <c r="C65" s="30"/>
      <c r="D65" s="30"/>
      <c r="E65" s="30"/>
      <c r="F65" s="30"/>
      <c r="G65" s="30"/>
      <c r="H65" s="30"/>
    </row>
    <row r="66" spans="2:8" x14ac:dyDescent="0.35">
      <c r="B66" s="30"/>
      <c r="C66" s="30"/>
      <c r="D66" s="30"/>
      <c r="E66" s="30"/>
      <c r="F66" s="30"/>
      <c r="G66" s="30"/>
      <c r="H66" s="30"/>
    </row>
    <row r="67" spans="2:8" x14ac:dyDescent="0.35">
      <c r="B67" s="28" t="str">
        <f>Lookup_concat(B61,Table1[Date and time],Table1[Time and Title])</f>
        <v/>
      </c>
      <c r="C67" s="28" t="str">
        <f>Lookup_concat(C61,Table1[Date and time],Table1[Time and Title])</f>
        <v/>
      </c>
      <c r="D67" s="28" t="str">
        <f>Lookup_concat(D61,Table1[Date and time],Table1[Time and Title])</f>
        <v/>
      </c>
      <c r="E67" s="28" t="str">
        <f>Lookup_concat(E61,Table1[Date and time],Table1[Time and Title])</f>
        <v/>
      </c>
      <c r="F67" s="28" t="str">
        <f>Lookup_concat(F61,Table1[Date and time],Table1[Time and Title])</f>
        <v/>
      </c>
      <c r="G67" s="28" t="str">
        <f>Lookup_concat(G61,Table1[Date and time],Table1[Time and Title])</f>
        <v/>
      </c>
      <c r="H67" s="28" t="str">
        <f>Lookup_concat(H61,Table1[Date and time],Table1[Time and Title])</f>
        <v/>
      </c>
    </row>
    <row r="68" spans="2:8" x14ac:dyDescent="0.35">
      <c r="B68" s="28"/>
      <c r="C68" s="28"/>
      <c r="D68" s="28"/>
      <c r="E68" s="28"/>
      <c r="F68" s="28"/>
      <c r="G68" s="28"/>
      <c r="H68" s="28"/>
    </row>
    <row r="69" spans="2:8" x14ac:dyDescent="0.35">
      <c r="B69" s="28"/>
      <c r="C69" s="28"/>
      <c r="D69" s="28"/>
      <c r="E69" s="28"/>
      <c r="F69" s="28"/>
      <c r="G69" s="28"/>
      <c r="H69" s="28"/>
    </row>
    <row r="70" spans="2:8" x14ac:dyDescent="0.35">
      <c r="B70" s="28"/>
      <c r="C70" s="28"/>
      <c r="D70" s="28"/>
      <c r="E70" s="28"/>
      <c r="F70" s="28"/>
      <c r="G70" s="28"/>
      <c r="H70" s="28"/>
    </row>
    <row r="71" spans="2:8" x14ac:dyDescent="0.35">
      <c r="B71" s="29"/>
      <c r="C71" s="29"/>
      <c r="D71" s="29"/>
      <c r="E71" s="29"/>
      <c r="F71" s="29"/>
      <c r="G71" s="29"/>
      <c r="H71" s="29"/>
    </row>
  </sheetData>
  <mergeCells count="36">
    <mergeCell ref="G29:G38"/>
    <mergeCell ref="H29:H38"/>
    <mergeCell ref="G40:G49"/>
    <mergeCell ref="H40:H49"/>
    <mergeCell ref="B51:B60"/>
    <mergeCell ref="C51:C60"/>
    <mergeCell ref="D51:D60"/>
    <mergeCell ref="E51:E60"/>
    <mergeCell ref="F51:F60"/>
    <mergeCell ref="G51:G60"/>
    <mergeCell ref="H51:H60"/>
    <mergeCell ref="B40:B49"/>
    <mergeCell ref="C40:C49"/>
    <mergeCell ref="D40:D49"/>
    <mergeCell ref="E40:E49"/>
    <mergeCell ref="F40:F49"/>
    <mergeCell ref="B29:B38"/>
    <mergeCell ref="C29:C38"/>
    <mergeCell ref="D29:D38"/>
    <mergeCell ref="E29:E38"/>
    <mergeCell ref="F29:F38"/>
    <mergeCell ref="F7:F16"/>
    <mergeCell ref="G7:G16"/>
    <mergeCell ref="H7:H16"/>
    <mergeCell ref="E18:E27"/>
    <mergeCell ref="F18:F27"/>
    <mergeCell ref="G18:G27"/>
    <mergeCell ref="H18:H27"/>
    <mergeCell ref="D2:E3"/>
    <mergeCell ref="B18:B27"/>
    <mergeCell ref="C18:C27"/>
    <mergeCell ref="D18:D27"/>
    <mergeCell ref="B7:B16"/>
    <mergeCell ref="C7:C16"/>
    <mergeCell ref="D7:D16"/>
    <mergeCell ref="E7:E16"/>
  </mergeCells>
  <conditionalFormatting sqref="B39:H40">
    <cfRule type="expression" dxfId="11" priority="11">
      <formula>B$39=TODAY()</formula>
    </cfRule>
  </conditionalFormatting>
  <conditionalFormatting sqref="B6:H7">
    <cfRule type="expression" dxfId="10" priority="31">
      <formula>B$6=TODAY()</formula>
    </cfRule>
    <cfRule type="expression" dxfId="9" priority="32">
      <formula>MONTH(B$6)&lt;&gt;MONTH($D$2)</formula>
    </cfRule>
  </conditionalFormatting>
  <conditionalFormatting sqref="B17:H18">
    <cfRule type="expression" dxfId="8" priority="45">
      <formula>B$17=TODAY()</formula>
    </cfRule>
    <cfRule type="expression" dxfId="7" priority="46">
      <formula>MONTH(B$17)&lt;&gt;MONTH($D$2)</formula>
    </cfRule>
  </conditionalFormatting>
  <conditionalFormatting sqref="B61:H71">
    <cfRule type="expression" dxfId="6" priority="81">
      <formula>B$61=TODAY()</formula>
    </cfRule>
    <cfRule type="expression" dxfId="5" priority="82">
      <formula>MONTH(B$61)&lt;&gt;MONTH($D$2)</formula>
    </cfRule>
  </conditionalFormatting>
  <conditionalFormatting sqref="B50:H51">
    <cfRule type="expression" dxfId="4" priority="73">
      <formula>B$50=TODAY()</formula>
    </cfRule>
    <cfRule type="expression" dxfId="3" priority="74">
      <formula>MONTH(B$50)&lt;&gt;MONTH($D$2)</formula>
    </cfRule>
  </conditionalFormatting>
  <conditionalFormatting sqref="B28:H29">
    <cfRule type="expression" dxfId="2" priority="57">
      <formula>B$28=TODAY()</formula>
    </cfRule>
    <cfRule type="expression" dxfId="1" priority="58">
      <formula>MONTH(B$28)&lt;&gt;MONTH($D$2)</formula>
    </cfRule>
  </conditionalFormatting>
  <conditionalFormatting sqref="B40:H41">
    <cfRule type="expression" dxfId="0" priority="4">
      <formula>MONTH(B$28)&lt;&gt;MONTH($D$2)</formula>
    </cfRule>
  </conditionalFormatting>
  <hyperlinks>
    <hyperlink ref="B3" location="Schedule!A1" display="Go to schedule" xr:uid="{00000000-0004-0000-0100-00000000000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Event">
                <anchor moveWithCells="1" sizeWithCells="1">
                  <from>
                    <xdr:col>14</xdr:col>
                    <xdr:colOff>222250</xdr:colOff>
                    <xdr:row>4</xdr:row>
                    <xdr:rowOff>38100</xdr:rowOff>
                  </from>
                  <to>
                    <xdr:col>15</xdr:col>
                    <xdr:colOff>266700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utton1_Click">
                <anchor moveWithCells="1" sizeWithCells="1">
                  <from>
                    <xdr:col>5</xdr:col>
                    <xdr:colOff>717550</xdr:colOff>
                    <xdr:row>2</xdr:row>
                    <xdr:rowOff>0</xdr:rowOff>
                  </from>
                  <to>
                    <xdr:col>5</xdr:col>
                    <xdr:colOff>1162050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PreviousMonth">
                <anchor moveWithCells="1" sizeWithCells="1">
                  <from>
                    <xdr:col>6</xdr:col>
                    <xdr:colOff>717550</xdr:colOff>
                    <xdr:row>2</xdr:row>
                    <xdr:rowOff>0</xdr:rowOff>
                  </from>
                  <to>
                    <xdr:col>6</xdr:col>
                    <xdr:colOff>1162050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NextMonth">
                <anchor moveWithCells="1" sizeWithCells="1">
                  <from>
                    <xdr:col>7</xdr:col>
                    <xdr:colOff>107950</xdr:colOff>
                    <xdr:row>2</xdr:row>
                    <xdr:rowOff>0</xdr:rowOff>
                  </from>
                  <to>
                    <xdr:col>7</xdr:col>
                    <xdr:colOff>552450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Schedule</vt:lpstr>
      <vt:lpstr>Monthly view</vt:lpstr>
      <vt:lpstr>Start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Gregory Davis</cp:lastModifiedBy>
  <dcterms:created xsi:type="dcterms:W3CDTF">2010-06-30T19:56:50Z</dcterms:created>
  <dcterms:modified xsi:type="dcterms:W3CDTF">2020-01-11T01:55:40Z</dcterms:modified>
</cp:coreProperties>
</file>